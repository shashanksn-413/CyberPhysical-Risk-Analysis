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S N\OneDrive\Desktop\CY5250_Assignments\Class_Paper\Class_Paper_Draft\"/>
    </mc:Choice>
  </mc:AlternateContent>
  <xr:revisionPtr revIDLastSave="0" documentId="13_ncr:1_{B63C3D86-CC56-4FC0-BC61-2141FE9B413A}" xr6:coauthVersionLast="47" xr6:coauthVersionMax="47" xr10:uidLastSave="{00000000-0000-0000-0000-000000000000}"/>
  <bookViews>
    <workbookView xWindow="-105" yWindow="0" windowWidth="14610" windowHeight="15585" activeTab="1" xr2:uid="{C8E6590D-60FE-434C-974D-C0A1273BA317}"/>
  </bookViews>
  <sheets>
    <sheet name="Robustness &amp; Betweeness" sheetId="1" r:id="rId1"/>
    <sheet name="Resili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2" l="1"/>
  <c r="K79" i="2" s="1"/>
  <c r="K83" i="2" s="1"/>
  <c r="K76" i="2" a="1"/>
  <c r="K76" i="2" s="1"/>
  <c r="K75" i="2" a="1"/>
  <c r="K75" i="2" s="1"/>
  <c r="C83" i="2"/>
  <c r="C79" i="2"/>
  <c r="C78" i="2"/>
  <c r="C76" i="2" a="1"/>
  <c r="C76" i="2" s="1"/>
  <c r="C75" i="2" a="1"/>
  <c r="C75" i="2" s="1"/>
  <c r="I55" i="1"/>
  <c r="I54" i="1"/>
  <c r="H55" i="1"/>
  <c r="H54" i="1"/>
  <c r="G55" i="1"/>
  <c r="G54" i="1"/>
  <c r="E54" i="1"/>
  <c r="K44" i="1"/>
  <c r="C53" i="1"/>
  <c r="C52" i="1"/>
  <c r="C51" i="1"/>
  <c r="C50" i="1"/>
  <c r="C49" i="1"/>
  <c r="C48" i="1"/>
  <c r="C47" i="1"/>
  <c r="C46" i="1"/>
  <c r="C45" i="1"/>
  <c r="C44" i="1"/>
  <c r="D54" i="1" l="1"/>
  <c r="C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<sst xmlns="http://schemas.openxmlformats.org/spreadsheetml/2006/main" count="96" uniqueCount="53">
  <si>
    <t>NETWORK NODES AND LINKS STRUCTURE AND METRICS</t>
  </si>
  <si>
    <t>Illinois</t>
  </si>
  <si>
    <t>Indiana</t>
  </si>
  <si>
    <t>Kentucky</t>
  </si>
  <si>
    <t>Maryland</t>
  </si>
  <si>
    <t>Missouri</t>
  </si>
  <si>
    <t>New Jersey</t>
  </si>
  <si>
    <t>Pennsylvania</t>
  </si>
  <si>
    <t>Tennessee</t>
  </si>
  <si>
    <t>West Virginia</t>
  </si>
  <si>
    <t>Virginia</t>
  </si>
  <si>
    <t>Adjacency
Matrix</t>
  </si>
  <si>
    <t>Nodes</t>
  </si>
  <si>
    <t>Links/
Node Degree</t>
  </si>
  <si>
    <t>Network
Degree</t>
  </si>
  <si>
    <t>Average/
Mean Degree</t>
  </si>
  <si>
    <t>Spectral
Radius</t>
  </si>
  <si>
    <t>Link
Robustness</t>
  </si>
  <si>
    <t>Node
Robustness</t>
  </si>
  <si>
    <t>Blocking
Nodes</t>
  </si>
  <si>
    <t>Total</t>
  </si>
  <si>
    <t>2 x Links</t>
  </si>
  <si>
    <t>No. Of Nodes
In Network</t>
  </si>
  <si>
    <t>Links that can 
be removed.</t>
  </si>
  <si>
    <t>Nodes that can 
be removed.</t>
  </si>
  <si>
    <t>Blocking Nodes 
that can be
removed</t>
  </si>
  <si>
    <t>NETWORK NODES AND LINKS BETWEENESS CENTRALITY</t>
  </si>
  <si>
    <t>Flow Network</t>
  </si>
  <si>
    <t>Note: Spectral Radius derived from the python code</t>
  </si>
  <si>
    <t>Cascade
Betweeness</t>
  </si>
  <si>
    <t>Flow
Betweeness</t>
  </si>
  <si>
    <t xml:space="preserve">Note: The Cascade and Flow  Betweeness Centralities for the respective nodes were derived from the python script. </t>
  </si>
  <si>
    <t>Shashank Shivakumar Niveditha</t>
  </si>
  <si>
    <t>Simulation Graph 1: Cascade Network - Gamma = 20%</t>
  </si>
  <si>
    <t>Simulation Graph 2: Cascade Network - Gamma = 80%</t>
  </si>
  <si>
    <t>Simulation Graph 3: Flow Network - Gamma = 20%</t>
  </si>
  <si>
    <t>Simulation Graph 4: Flow Network - Gamma = 80%</t>
  </si>
  <si>
    <t>RESILIENCE EQUATION: Log(q) = b + k * gamma * ro</t>
  </si>
  <si>
    <t>ro =</t>
  </si>
  <si>
    <t>gamma =</t>
  </si>
  <si>
    <t>q =</t>
  </si>
  <si>
    <t>log (q) =</t>
  </si>
  <si>
    <t>gamma*ro =</t>
  </si>
  <si>
    <t>k =</t>
  </si>
  <si>
    <t>b =</t>
  </si>
  <si>
    <t>MBRA</t>
  </si>
  <si>
    <t>Therefore</t>
  </si>
  <si>
    <t>Critical Vulnerability</t>
  </si>
  <si>
    <t>gamm0=</t>
  </si>
  <si>
    <t>CASCADE RESILIENCE EQUATION: Log(q) = 0.28 -0.16 * gamma * ro</t>
  </si>
  <si>
    <t>FLOW RESILIENCE EQUATION: Log(q) = -0.08 -0.02 * gamma * ro</t>
  </si>
  <si>
    <t>Cascade Netwrok</t>
  </si>
  <si>
    <t>Resilience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</si>
</sst>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8" xfId="0" applyBorder="1"/>
    <xf numFmtId="0" fontId="0" fillId="0" borderId="9" xfId="0" applyBorder="1"/>
    <xf numFmtId="0" fontId="1" fillId="2" borderId="9" xfId="0" applyFont="1" applyFill="1" applyBorder="1" applyAlignment="1">
      <alignment horizontal="left" vertical="center"/>
    </xf>
    <xf numFmtId="0" fontId="0" fillId="2" borderId="9" xfId="0" applyFill="1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1" fillId="2" borderId="0" xfId="0" applyFont="1" applyFill="1"/>
    <xf numFmtId="0" fontId="0" fillId="2" borderId="0" xfId="0" applyFill="1"/>
    <xf numFmtId="0" fontId="0" fillId="0" borderId="11" xfId="0" applyBorder="1"/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2" xfId="0" applyBorder="1"/>
    <xf numFmtId="0" fontId="1" fillId="0" borderId="11" xfId="0" applyFont="1" applyBorder="1"/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9" xfId="0" applyFont="1" applyBorder="1"/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/>
    <xf numFmtId="2" fontId="0" fillId="0" borderId="0" xfId="0" applyNumberForma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2" fillId="0" borderId="8" xfId="0" applyFont="1" applyBorder="1"/>
    <xf numFmtId="0" fontId="1" fillId="2" borderId="7" xfId="0" applyFont="1" applyFill="1" applyBorder="1"/>
    <xf numFmtId="0" fontId="0" fillId="2" borderId="15" xfId="0" applyFill="1" applyBorder="1"/>
    <xf numFmtId="0" fontId="0" fillId="2" borderId="13" xfId="0" applyFill="1" applyBorder="1"/>
    <xf numFmtId="2" fontId="3" fillId="2" borderId="1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Cascade Resilience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Resilience!$C$76:$D$76</c:f>
              <c:numCache>
                <c:formatCode>0.00</c:formatCode>
                <c:ptCount val="2"/>
                <c:pt idx="0">
                  <c:v>0.45400000000000001</c:v>
                </c:pt>
                <c:pt idx="1">
                  <c:v>1.8160000000000001</c:v>
                </c:pt>
              </c:numCache>
            </c:numRef>
          </c:xVal>
          <c:yVal>
            <c:numRef>
              <c:f>Resilience!$C$75:$D$75</c:f>
              <c:numCache>
                <c:formatCode>0.000</c:formatCode>
                <c:ptCount val="2"/>
                <c:pt idx="0" formatCode="0.00">
                  <c:v>0.20411998265592479</c:v>
                </c:pt>
                <c:pt idx="1">
                  <c:v>-8.7739243075051505E-3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3-44ED-B57F-5C8503F98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251192"/>
        <c:axId val="828250832"/>
      </c:scatterChart>
      <c:valAx>
        <c:axId val="82825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Vulnerability*Specatral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50832"/>
        <c:crosses val="autoZero"/>
        <c:crossBetween val="midCat"/>
      </c:valAx>
      <c:valAx>
        <c:axId val="8282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</a:t>
                </a:r>
                <a:r>
                  <a:rPr lang="en-IN" baseline="0"/>
                  <a:t> (Fractional Dimension 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51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Flow Resilience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Resilience!$K$76:$L$76</c:f>
              <c:numCache>
                <c:formatCode>0.00</c:formatCode>
                <c:ptCount val="2"/>
                <c:pt idx="0">
                  <c:v>0.45400000000000001</c:v>
                </c:pt>
                <c:pt idx="1">
                  <c:v>1.8160000000000001</c:v>
                </c:pt>
              </c:numCache>
            </c:numRef>
          </c:xVal>
          <c:yVal>
            <c:numRef>
              <c:f>Resilience!$K$75:$L$75</c:f>
              <c:numCache>
                <c:formatCode>0.000</c:formatCode>
                <c:ptCount val="2"/>
                <c:pt idx="0" formatCode="0.00">
                  <c:v>-9.1514981121350217E-2</c:v>
                </c:pt>
                <c:pt idx="1">
                  <c:v>-0.12493873660829995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F5-432E-9A3F-CEFAED7FC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251192"/>
        <c:axId val="828250832"/>
      </c:scatterChart>
      <c:valAx>
        <c:axId val="82825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Vulnerability*Specatral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50832"/>
        <c:crosses val="autoZero"/>
        <c:crossBetween val="midCat"/>
      </c:valAx>
      <c:valAx>
        <c:axId val="8282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</a:t>
                </a:r>
                <a:r>
                  <a:rPr lang="en-IN" baseline="0"/>
                  <a:t> (Fractional Dimension 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51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116318</xdr:colOff>
      <xdr:row>3</xdr:row>
      <xdr:rowOff>37742</xdr:rowOff>
    </xdr:from>
    <xdr:to>
      <xdr:col>21</xdr:col>
      <xdr:colOff>120430</xdr:colOff>
      <xdr:row>26</xdr:row>
      <xdr:rowOff>159869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0DE4E-A65F-4708-371F-38819C353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9163" y="596104"/>
          <a:ext cx="7208077" cy="4402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56745</xdr:colOff>
      <xdr:row>3</xdr:row>
      <xdr:rowOff>36849</xdr:rowOff>
    </xdr:from>
    <xdr:to>
      <xdr:col>9</xdr:col>
      <xdr:colOff>656896</xdr:colOff>
      <xdr:row>26</xdr:row>
      <xdr:rowOff>37488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BBD11A-3B64-48CF-376C-09C7641B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848" y="595211"/>
          <a:ext cx="6950151" cy="4281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605271</xdr:colOff>
      <xdr:row>33</xdr:row>
      <xdr:rowOff>79665</xdr:rowOff>
    </xdr:from>
    <xdr:to>
      <xdr:col>20</xdr:col>
      <xdr:colOff>49382</xdr:colOff>
      <xdr:row>46</xdr:row>
      <xdr:rowOff>60615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FF4CE-F0A6-BBB4-02B9-6712F5BCA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271" y="6366165"/>
          <a:ext cx="12047899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2167</xdr:colOff>
      <xdr:row>48</xdr:row>
      <xdr:rowOff>175348</xdr:rowOff>
    </xdr:from>
    <xdr:to>
      <xdr:col>21</xdr:col>
      <xdr:colOff>103429</xdr:colOff>
      <xdr:row>62</xdr:row>
      <xdr:rowOff>101038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8A2F7-B117-F87D-BDF0-73B9AF445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303" y="9319348"/>
          <a:ext cx="12705050" cy="2592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17750</xdr:colOff>
      <xdr:row>1</xdr:row>
      <xdr:rowOff>164523</xdr:rowOff>
    </xdr:from>
    <xdr:to>
      <xdr:col>20</xdr:col>
      <xdr:colOff>577512</xdr:colOff>
      <xdr:row>15</xdr:row>
      <xdr:rowOff>59300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C45579-D627-C3DB-E325-2DFEF1D9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6" y="355023"/>
          <a:ext cx="12557414" cy="256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12989</xdr:colOff>
      <xdr:row>18</xdr:row>
      <xdr:rowOff>23815</xdr:rowOff>
    </xdr:from>
    <xdr:to>
      <xdr:col>19</xdr:col>
      <xdr:colOff>161876</xdr:colOff>
      <xdr:row>30</xdr:row>
      <xdr:rowOff>92643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180DFC-204E-0976-0D12-22B4E53F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452815"/>
          <a:ext cx="11540403" cy="2354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175460</xdr:colOff>
      <xdr:row>86</xdr:row>
      <xdr:rowOff>173743</xdr:rowOff>
    </xdr:from>
    <xdr:to>
      <xdr:col>7</xdr:col>
      <xdr:colOff>292839</xdr:colOff>
      <xdr:row>101</xdr:row>
      <xdr:rowOff>35010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86AC2C-45EC-DA4E-1CC4-FE1EA5E7C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286991</xdr:colOff>
      <xdr:row>86</xdr:row>
      <xdr:rowOff>183942</xdr:rowOff>
    </xdr:from>
    <xdr:to>
      <xdr:col>15</xdr:col>
      <xdr:colOff>354619</xdr:colOff>
      <xdr:row>101</xdr:row>
      <xdr:rowOff>45209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FD6056-81F0-46D2-A16C-3F62B5161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6DF6-6084-4005-A3BB-16A1567E2585}">
  <dimension ref="A1:V103"/>
  <sheetViews>
    <sheetView topLeftCell="A40" zoomScale="76" workbookViewId="0">
      <selection activeCell="I54" sqref="I54"/>
    </sheetView>
  </sheetViews>
  <sheetFormatPr defaultRowHeight="15" x14ac:dyDescent="0.25"/>
  <cols>
    <col min="2" max="2" width="12.85546875" bestFit="1" customWidth="1"/>
    <col min="3" max="3" width="12.42578125" customWidth="1"/>
    <col min="4" max="4" width="12.5703125" customWidth="1"/>
    <col min="7" max="7" width="11.7109375" customWidth="1"/>
    <col min="8" max="8" width="12.140625" customWidth="1"/>
    <col min="9" max="9" width="15.140625" customWidth="1"/>
    <col min="10" max="10" width="10.28515625" bestFit="1" customWidth="1"/>
    <col min="11" max="11" width="13.5703125" customWidth="1"/>
    <col min="13" max="13" width="11.7109375" customWidth="1"/>
  </cols>
  <sheetData>
    <row r="1" spans="1:22" x14ac:dyDescent="0.25">
      <c r="A1" s="26"/>
      <c r="B1" s="27"/>
      <c r="C1" s="27"/>
      <c r="D1" s="27"/>
      <c r="E1" s="27"/>
      <c r="F1" s="27"/>
      <c r="G1" s="28" t="s">
        <v>0</v>
      </c>
      <c r="H1" s="29"/>
      <c r="I1" s="29"/>
      <c r="J1" s="29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30"/>
    </row>
    <row r="2" spans="1:22" x14ac:dyDescent="0.25">
      <c r="A2" s="31"/>
      <c r="V2" s="32"/>
    </row>
    <row r="3" spans="1:22" x14ac:dyDescent="0.25">
      <c r="A3" s="31"/>
      <c r="V3" s="32"/>
    </row>
    <row r="4" spans="1:22" x14ac:dyDescent="0.25">
      <c r="A4" s="31"/>
      <c r="V4" s="32"/>
    </row>
    <row r="5" spans="1:22" x14ac:dyDescent="0.25">
      <c r="A5" s="31"/>
      <c r="V5" s="32"/>
    </row>
    <row r="6" spans="1:22" x14ac:dyDescent="0.25">
      <c r="A6" s="31"/>
      <c r="V6" s="32"/>
    </row>
    <row r="7" spans="1:22" x14ac:dyDescent="0.25">
      <c r="A7" s="31"/>
      <c r="V7" s="32"/>
    </row>
    <row r="8" spans="1:22" x14ac:dyDescent="0.25">
      <c r="A8" s="31"/>
      <c r="V8" s="32"/>
    </row>
    <row r="9" spans="1:22" x14ac:dyDescent="0.25">
      <c r="A9" s="31"/>
      <c r="V9" s="32"/>
    </row>
    <row r="10" spans="1:22" x14ac:dyDescent="0.25">
      <c r="A10" s="31"/>
      <c r="V10" s="32"/>
    </row>
    <row r="11" spans="1:22" x14ac:dyDescent="0.25">
      <c r="A11" s="31"/>
      <c r="V11" s="32"/>
    </row>
    <row r="12" spans="1:22" x14ac:dyDescent="0.25">
      <c r="A12" s="31"/>
      <c r="V12" s="32"/>
    </row>
    <row r="13" spans="1:22" x14ac:dyDescent="0.25">
      <c r="A13" s="31"/>
      <c r="V13" s="32"/>
    </row>
    <row r="14" spans="1:22" x14ac:dyDescent="0.25">
      <c r="A14" s="31"/>
      <c r="V14" s="32"/>
    </row>
    <row r="15" spans="1:22" x14ac:dyDescent="0.25">
      <c r="A15" s="31"/>
      <c r="V15" s="32"/>
    </row>
    <row r="16" spans="1:22" x14ac:dyDescent="0.25">
      <c r="A16" s="31"/>
      <c r="V16" s="32"/>
    </row>
    <row r="17" spans="1:22" x14ac:dyDescent="0.25">
      <c r="A17" s="31"/>
      <c r="V17" s="32"/>
    </row>
    <row r="18" spans="1:22" x14ac:dyDescent="0.25">
      <c r="A18" s="31"/>
      <c r="V18" s="32"/>
    </row>
    <row r="19" spans="1:22" x14ac:dyDescent="0.25">
      <c r="A19" s="31"/>
      <c r="V19" s="32"/>
    </row>
    <row r="20" spans="1:22" x14ac:dyDescent="0.25">
      <c r="A20" s="31"/>
      <c r="V20" s="32"/>
    </row>
    <row r="21" spans="1:22" x14ac:dyDescent="0.25">
      <c r="A21" s="31"/>
      <c r="V21" s="32"/>
    </row>
    <row r="22" spans="1:22" x14ac:dyDescent="0.25">
      <c r="A22" s="31"/>
      <c r="V22" s="32"/>
    </row>
    <row r="23" spans="1:22" x14ac:dyDescent="0.25">
      <c r="A23" s="31"/>
      <c r="V23" s="32"/>
    </row>
    <row r="24" spans="1:22" x14ac:dyDescent="0.25">
      <c r="A24" s="31"/>
      <c r="V24" s="32"/>
    </row>
    <row r="25" spans="1:22" x14ac:dyDescent="0.25">
      <c r="A25" s="31"/>
      <c r="V25" s="32"/>
    </row>
    <row r="26" spans="1:22" x14ac:dyDescent="0.25">
      <c r="A26" s="31"/>
      <c r="V26" s="32"/>
    </row>
    <row r="27" spans="1:22" x14ac:dyDescent="0.25">
      <c r="A27" s="31"/>
      <c r="V27" s="32"/>
    </row>
    <row r="28" spans="1:22" x14ac:dyDescent="0.25">
      <c r="A28" s="31"/>
      <c r="V28" s="32"/>
    </row>
    <row r="29" spans="1:22" ht="30" x14ac:dyDescent="0.25">
      <c r="A29" s="31"/>
      <c r="B29" s="6" t="s">
        <v>11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8</v>
      </c>
      <c r="K29" s="3" t="s">
        <v>9</v>
      </c>
      <c r="L29" s="1" t="s">
        <v>10</v>
      </c>
      <c r="V29" s="32"/>
    </row>
    <row r="30" spans="1:22" x14ac:dyDescent="0.25">
      <c r="A30" s="31"/>
      <c r="B30" s="2" t="s">
        <v>1</v>
      </c>
      <c r="C30" s="5">
        <v>0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V30" s="32"/>
    </row>
    <row r="31" spans="1:22" x14ac:dyDescent="0.25">
      <c r="A31" s="31"/>
      <c r="B31" s="1" t="s">
        <v>2</v>
      </c>
      <c r="C31" s="5">
        <v>1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V31" s="32"/>
    </row>
    <row r="32" spans="1:22" x14ac:dyDescent="0.25">
      <c r="A32" s="31"/>
      <c r="B32" s="1" t="s">
        <v>3</v>
      </c>
      <c r="C32" s="5">
        <v>0</v>
      </c>
      <c r="D32" s="5">
        <v>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</v>
      </c>
      <c r="K32" s="5">
        <v>1</v>
      </c>
      <c r="L32" s="5">
        <v>0</v>
      </c>
      <c r="V32" s="32"/>
    </row>
    <row r="33" spans="1:22" x14ac:dyDescent="0.25">
      <c r="A33" s="31"/>
      <c r="B33" s="1" t="s">
        <v>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1</v>
      </c>
      <c r="V33" s="32"/>
    </row>
    <row r="34" spans="1:22" x14ac:dyDescent="0.25">
      <c r="A34" s="31"/>
      <c r="B34" s="1" t="s">
        <v>5</v>
      </c>
      <c r="C34" s="5">
        <v>1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V34" s="32"/>
    </row>
    <row r="35" spans="1:22" x14ac:dyDescent="0.25">
      <c r="A35" s="31"/>
      <c r="B35" s="1" t="s">
        <v>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V35" s="32"/>
    </row>
    <row r="36" spans="1:22" x14ac:dyDescent="0.25">
      <c r="A36" s="31"/>
      <c r="B36" s="1" t="s">
        <v>7</v>
      </c>
      <c r="C36" s="5">
        <v>0</v>
      </c>
      <c r="D36" s="5">
        <v>0</v>
      </c>
      <c r="E36" s="5">
        <v>0</v>
      </c>
      <c r="F36" s="5">
        <v>1</v>
      </c>
      <c r="G36" s="5">
        <v>0</v>
      </c>
      <c r="H36" s="5">
        <v>1</v>
      </c>
      <c r="I36" s="5">
        <v>0</v>
      </c>
      <c r="J36" s="5">
        <v>0</v>
      </c>
      <c r="K36" s="5">
        <v>0</v>
      </c>
      <c r="L36" s="5">
        <v>1</v>
      </c>
      <c r="V36" s="32"/>
    </row>
    <row r="37" spans="1:22" x14ac:dyDescent="0.25">
      <c r="A37" s="31"/>
      <c r="B37" s="1" t="s">
        <v>8</v>
      </c>
      <c r="C37" s="5">
        <v>0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V37" s="32"/>
    </row>
    <row r="38" spans="1:22" x14ac:dyDescent="0.25">
      <c r="A38" s="31"/>
      <c r="B38" s="1" t="s">
        <v>9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1</v>
      </c>
      <c r="J38" s="5">
        <v>0</v>
      </c>
      <c r="K38" s="5">
        <v>0</v>
      </c>
      <c r="L38" s="5">
        <v>1</v>
      </c>
      <c r="V38" s="32"/>
    </row>
    <row r="39" spans="1:22" x14ac:dyDescent="0.25">
      <c r="A39" s="31"/>
      <c r="B39" s="1" t="s">
        <v>10</v>
      </c>
      <c r="C39" s="5">
        <v>0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1</v>
      </c>
      <c r="L39" s="5">
        <v>0</v>
      </c>
      <c r="V39" s="32"/>
    </row>
    <row r="40" spans="1:22" x14ac:dyDescent="0.25">
      <c r="A40" s="31"/>
      <c r="V40" s="32"/>
    </row>
    <row r="41" spans="1:22" x14ac:dyDescent="0.25">
      <c r="A41" s="31"/>
      <c r="V41" s="32"/>
    </row>
    <row r="42" spans="1:22" x14ac:dyDescent="0.25">
      <c r="A42" s="31"/>
      <c r="V42" s="32"/>
    </row>
    <row r="43" spans="1:22" ht="45" x14ac:dyDescent="0.25">
      <c r="A43" s="31"/>
      <c r="B43" s="9" t="s">
        <v>12</v>
      </c>
      <c r="C43" s="10" t="s">
        <v>13</v>
      </c>
      <c r="D43" s="10" t="s">
        <v>14</v>
      </c>
      <c r="E43" s="10" t="s">
        <v>15</v>
      </c>
      <c r="F43" s="10" t="s">
        <v>16</v>
      </c>
      <c r="G43" s="10" t="s">
        <v>17</v>
      </c>
      <c r="H43" s="10" t="s">
        <v>18</v>
      </c>
      <c r="I43" s="10" t="s">
        <v>19</v>
      </c>
      <c r="K43" s="6" t="s">
        <v>22</v>
      </c>
      <c r="V43" s="32"/>
    </row>
    <row r="44" spans="1:22" x14ac:dyDescent="0.25">
      <c r="A44" s="31"/>
      <c r="B44" s="2" t="s">
        <v>1</v>
      </c>
      <c r="C44" s="7">
        <f t="shared" ref="C44:C53" si="0">SUM(C30:L30)</f>
        <v>2</v>
      </c>
      <c r="D44" s="8"/>
      <c r="E44" s="8"/>
      <c r="F44" s="8"/>
      <c r="G44" s="8"/>
      <c r="H44" s="8"/>
      <c r="I44" s="8"/>
      <c r="K44" s="13">
        <f>COUNT(C30:C39)</f>
        <v>10</v>
      </c>
      <c r="V44" s="32"/>
    </row>
    <row r="45" spans="1:22" x14ac:dyDescent="0.25">
      <c r="A45" s="31"/>
      <c r="B45" s="1" t="s">
        <v>2</v>
      </c>
      <c r="C45" s="7">
        <f t="shared" si="0"/>
        <v>2</v>
      </c>
      <c r="D45" s="8"/>
      <c r="E45" s="8"/>
      <c r="F45" s="8"/>
      <c r="G45" s="8"/>
      <c r="H45" s="8"/>
      <c r="I45" s="8"/>
      <c r="V45" s="32"/>
    </row>
    <row r="46" spans="1:22" x14ac:dyDescent="0.25">
      <c r="A46" s="31"/>
      <c r="B46" s="1" t="s">
        <v>3</v>
      </c>
      <c r="C46" s="7">
        <f t="shared" si="0"/>
        <v>3</v>
      </c>
      <c r="D46" s="8"/>
      <c r="E46" s="8"/>
      <c r="F46" s="8"/>
      <c r="G46" s="8"/>
      <c r="H46" s="8"/>
      <c r="I46" s="8"/>
      <c r="V46" s="32"/>
    </row>
    <row r="47" spans="1:22" x14ac:dyDescent="0.25">
      <c r="A47" s="31"/>
      <c r="B47" s="1" t="s">
        <v>4</v>
      </c>
      <c r="C47" s="7">
        <f t="shared" si="0"/>
        <v>2</v>
      </c>
      <c r="D47" s="8"/>
      <c r="E47" s="8"/>
      <c r="F47" s="8"/>
      <c r="G47" s="8"/>
      <c r="H47" s="8"/>
      <c r="I47" s="8"/>
      <c r="V47" s="32"/>
    </row>
    <row r="48" spans="1:22" x14ac:dyDescent="0.25">
      <c r="A48" s="31"/>
      <c r="B48" s="1" t="s">
        <v>5</v>
      </c>
      <c r="C48" s="11">
        <f t="shared" si="0"/>
        <v>1</v>
      </c>
      <c r="D48" s="12"/>
      <c r="E48" s="12"/>
      <c r="F48" s="12"/>
      <c r="G48" s="12"/>
      <c r="H48" s="12"/>
      <c r="I48" s="12"/>
      <c r="V48" s="32"/>
    </row>
    <row r="49" spans="1:22" x14ac:dyDescent="0.25">
      <c r="A49" s="31"/>
      <c r="B49" s="1" t="s">
        <v>6</v>
      </c>
      <c r="C49" s="5">
        <f t="shared" si="0"/>
        <v>1</v>
      </c>
      <c r="D49" s="4"/>
      <c r="E49" s="4"/>
      <c r="F49" s="4"/>
      <c r="G49" s="4"/>
      <c r="H49" s="4"/>
      <c r="I49" s="4"/>
      <c r="V49" s="32"/>
    </row>
    <row r="50" spans="1:22" x14ac:dyDescent="0.25">
      <c r="A50" s="31"/>
      <c r="B50" s="1" t="s">
        <v>7</v>
      </c>
      <c r="C50" s="5">
        <f t="shared" si="0"/>
        <v>3</v>
      </c>
      <c r="D50" s="4"/>
      <c r="E50" s="4"/>
      <c r="F50" s="4"/>
      <c r="G50" s="4"/>
      <c r="H50" s="4"/>
      <c r="I50" s="4"/>
      <c r="V50" s="32"/>
    </row>
    <row r="51" spans="1:22" x14ac:dyDescent="0.25">
      <c r="A51" s="31"/>
      <c r="B51" s="1" t="s">
        <v>8</v>
      </c>
      <c r="C51" s="5">
        <f t="shared" si="0"/>
        <v>1</v>
      </c>
      <c r="D51" s="4"/>
      <c r="E51" s="4"/>
      <c r="F51" s="4"/>
      <c r="G51" s="4"/>
      <c r="H51" s="4"/>
      <c r="I51" s="4"/>
      <c r="V51" s="32"/>
    </row>
    <row r="52" spans="1:22" x14ac:dyDescent="0.25">
      <c r="A52" s="31"/>
      <c r="B52" s="1" t="s">
        <v>9</v>
      </c>
      <c r="C52" s="5">
        <f t="shared" si="0"/>
        <v>3</v>
      </c>
      <c r="D52" s="4"/>
      <c r="E52" s="4"/>
      <c r="F52" s="4"/>
      <c r="G52" s="4"/>
      <c r="H52" s="4"/>
      <c r="I52" s="4"/>
      <c r="V52" s="32"/>
    </row>
    <row r="53" spans="1:22" x14ac:dyDescent="0.25">
      <c r="A53" s="31"/>
      <c r="B53" s="1" t="s">
        <v>10</v>
      </c>
      <c r="C53" s="5">
        <f t="shared" si="0"/>
        <v>2</v>
      </c>
      <c r="D53" s="4"/>
      <c r="E53" s="4"/>
      <c r="F53" s="4"/>
      <c r="G53" s="4"/>
      <c r="H53" s="4"/>
      <c r="I53" s="4"/>
      <c r="V53" s="32"/>
    </row>
    <row r="54" spans="1:22" x14ac:dyDescent="0.25">
      <c r="A54" s="31"/>
      <c r="B54" s="1" t="s">
        <v>20</v>
      </c>
      <c r="C54" s="13">
        <f>SUM(C44:C53)</f>
        <v>20</v>
      </c>
      <c r="D54" s="13">
        <f>MAX(C44:C53)</f>
        <v>3</v>
      </c>
      <c r="E54" s="13">
        <f>C54/K44</f>
        <v>2</v>
      </c>
      <c r="F54" s="13">
        <v>2.27</v>
      </c>
      <c r="G54" s="14">
        <f>1-2/E54</f>
        <v>0</v>
      </c>
      <c r="H54" s="14">
        <f>1-(1/F54)</f>
        <v>0.55947136563876654</v>
      </c>
      <c r="I54" s="14">
        <f>1*(1/F54)</f>
        <v>0.44052863436123346</v>
      </c>
      <c r="V54" s="32"/>
    </row>
    <row r="55" spans="1:22" x14ac:dyDescent="0.25">
      <c r="A55" s="31"/>
      <c r="C55" s="17" t="s">
        <v>21</v>
      </c>
      <c r="D55" s="21"/>
      <c r="E55" s="21"/>
      <c r="F55" s="21"/>
      <c r="G55" s="13">
        <f>C54*G54</f>
        <v>0</v>
      </c>
      <c r="H55" s="15">
        <f>K44*H54</f>
        <v>5.5947136563876656</v>
      </c>
      <c r="I55" s="15">
        <f>K44*I54</f>
        <v>4.4052863436123344</v>
      </c>
      <c r="V55" s="32"/>
    </row>
    <row r="56" spans="1:22" ht="55.5" customHeight="1" x14ac:dyDescent="0.25">
      <c r="A56" s="31"/>
      <c r="G56" s="16" t="s">
        <v>23</v>
      </c>
      <c r="H56" s="16" t="s">
        <v>24</v>
      </c>
      <c r="I56" s="16" t="s">
        <v>25</v>
      </c>
      <c r="V56" s="32"/>
    </row>
    <row r="57" spans="1:22" x14ac:dyDescent="0.25">
      <c r="A57" s="31"/>
      <c r="B57" s="22" t="s">
        <v>28</v>
      </c>
      <c r="V57" s="32"/>
    </row>
    <row r="58" spans="1:22" x14ac:dyDescent="0.25">
      <c r="A58" s="31"/>
      <c r="V58" s="32"/>
    </row>
    <row r="59" spans="1:22" x14ac:dyDescent="0.25">
      <c r="A59" s="31"/>
      <c r="V59" s="32"/>
    </row>
    <row r="60" spans="1:22" x14ac:dyDescent="0.25">
      <c r="A60" s="31"/>
      <c r="V60" s="32"/>
    </row>
    <row r="61" spans="1:22" x14ac:dyDescent="0.25">
      <c r="A61" s="31"/>
      <c r="B61" s="25"/>
      <c r="F61" s="33" t="s">
        <v>26</v>
      </c>
      <c r="G61" s="34"/>
      <c r="H61" s="34"/>
      <c r="I61" s="34"/>
      <c r="J61" s="34"/>
      <c r="V61" s="32"/>
    </row>
    <row r="62" spans="1:22" x14ac:dyDescent="0.25">
      <c r="A62" s="31"/>
      <c r="V62" s="32"/>
    </row>
    <row r="63" spans="1:22" x14ac:dyDescent="0.25">
      <c r="A63" s="31"/>
      <c r="B63" s="20"/>
      <c r="C63" s="21"/>
      <c r="D63" s="21"/>
      <c r="E63" s="21"/>
      <c r="F63" s="21"/>
      <c r="G63" s="21"/>
      <c r="H63" s="21"/>
      <c r="I63" s="21"/>
      <c r="J63" s="21"/>
      <c r="K63" s="20"/>
      <c r="L63" s="21"/>
      <c r="M63" s="20"/>
      <c r="N63" s="20"/>
      <c r="V63" s="32"/>
    </row>
    <row r="64" spans="1:22" x14ac:dyDescent="0.25">
      <c r="A64" s="31"/>
      <c r="B64" s="21"/>
      <c r="C64" s="19"/>
      <c r="D64" s="19"/>
      <c r="E64" s="19"/>
      <c r="F64" s="25"/>
      <c r="G64" s="19"/>
      <c r="H64" s="19"/>
      <c r="I64" s="19"/>
      <c r="J64" s="19"/>
      <c r="K64" s="19"/>
      <c r="L64" s="19"/>
      <c r="M64" s="19"/>
      <c r="N64" s="19"/>
      <c r="V64" s="32"/>
    </row>
    <row r="65" spans="1:22" ht="30" x14ac:dyDescent="0.25">
      <c r="A65" s="31"/>
      <c r="B65" s="23" t="s">
        <v>12</v>
      </c>
      <c r="C65" s="6" t="s">
        <v>29</v>
      </c>
      <c r="D65" s="6" t="s">
        <v>30</v>
      </c>
      <c r="E65" s="19"/>
      <c r="F65" s="25"/>
      <c r="G65" s="19"/>
      <c r="H65" s="19"/>
      <c r="I65" s="19"/>
      <c r="J65" s="19"/>
      <c r="K65" s="19"/>
      <c r="L65" s="19"/>
      <c r="M65" s="19"/>
      <c r="N65" s="19"/>
      <c r="V65" s="32"/>
    </row>
    <row r="66" spans="1:22" x14ac:dyDescent="0.25">
      <c r="A66" s="31"/>
      <c r="B66" s="2" t="s">
        <v>1</v>
      </c>
      <c r="C66" s="24">
        <v>0.22</v>
      </c>
      <c r="D66" s="24">
        <v>0.22</v>
      </c>
      <c r="E66" s="19"/>
      <c r="F66" s="25"/>
      <c r="G66" s="19"/>
      <c r="H66" s="19"/>
      <c r="I66" s="19"/>
      <c r="J66" s="19"/>
      <c r="K66" s="19"/>
      <c r="L66" s="19"/>
      <c r="M66" s="19"/>
      <c r="N66" s="19"/>
      <c r="V66" s="32"/>
    </row>
    <row r="67" spans="1:22" x14ac:dyDescent="0.25">
      <c r="A67" s="31"/>
      <c r="B67" s="1" t="s">
        <v>2</v>
      </c>
      <c r="C67" s="24">
        <v>0.39</v>
      </c>
      <c r="D67" s="24">
        <v>0.39</v>
      </c>
      <c r="E67" s="19"/>
      <c r="F67" s="25"/>
      <c r="G67" s="19"/>
      <c r="H67" s="19"/>
      <c r="I67" s="19"/>
      <c r="J67" s="19"/>
      <c r="K67" s="19"/>
      <c r="L67" s="19"/>
      <c r="M67" s="19"/>
      <c r="N67" s="19"/>
      <c r="V67" s="32"/>
    </row>
    <row r="68" spans="1:22" x14ac:dyDescent="0.25">
      <c r="A68" s="31"/>
      <c r="B68" s="1" t="s">
        <v>3</v>
      </c>
      <c r="C68" s="24">
        <v>0.64</v>
      </c>
      <c r="D68" s="24">
        <v>0.64</v>
      </c>
      <c r="E68" s="19"/>
      <c r="F68" s="25"/>
      <c r="G68" s="19"/>
      <c r="H68" s="19"/>
      <c r="I68" s="19"/>
      <c r="J68" s="19"/>
      <c r="K68" s="19"/>
      <c r="L68" s="19"/>
      <c r="M68" s="19"/>
      <c r="N68" s="19"/>
      <c r="V68" s="32"/>
    </row>
    <row r="69" spans="1:22" x14ac:dyDescent="0.25">
      <c r="A69" s="31"/>
      <c r="B69" s="1" t="s">
        <v>4</v>
      </c>
      <c r="C69" s="24">
        <v>0</v>
      </c>
      <c r="D69" s="24">
        <v>0.01</v>
      </c>
      <c r="E69" s="19"/>
      <c r="F69" s="22" t="s">
        <v>31</v>
      </c>
      <c r="G69" s="19"/>
      <c r="H69" s="19"/>
      <c r="I69" s="19"/>
      <c r="J69" s="19"/>
      <c r="K69" s="19"/>
      <c r="L69" s="19"/>
      <c r="M69" s="19"/>
      <c r="N69" s="19"/>
      <c r="V69" s="32"/>
    </row>
    <row r="70" spans="1:22" x14ac:dyDescent="0.25">
      <c r="A70" s="31"/>
      <c r="B70" s="1" t="s">
        <v>5</v>
      </c>
      <c r="C70" s="24">
        <v>0</v>
      </c>
      <c r="D70" s="24">
        <v>0</v>
      </c>
      <c r="E70" s="19"/>
      <c r="F70" s="25"/>
      <c r="G70" s="19"/>
      <c r="H70" s="19"/>
      <c r="I70" s="19"/>
      <c r="J70" s="19"/>
      <c r="K70" s="19"/>
      <c r="L70" s="19"/>
      <c r="M70" s="19"/>
      <c r="N70" s="19"/>
      <c r="V70" s="32"/>
    </row>
    <row r="71" spans="1:22" x14ac:dyDescent="0.25">
      <c r="A71" s="31"/>
      <c r="B71" s="1" t="s">
        <v>6</v>
      </c>
      <c r="C71" s="24">
        <v>0</v>
      </c>
      <c r="D71" s="24">
        <v>0</v>
      </c>
      <c r="E71" s="19"/>
      <c r="F71" s="25"/>
      <c r="G71" s="19"/>
      <c r="H71" s="19"/>
      <c r="I71" s="19"/>
      <c r="J71" s="19"/>
      <c r="K71" s="19"/>
      <c r="L71" s="19"/>
      <c r="M71" s="19"/>
      <c r="N71" s="19"/>
      <c r="V71" s="32"/>
    </row>
    <row r="72" spans="1:22" x14ac:dyDescent="0.25">
      <c r="A72" s="31"/>
      <c r="B72" s="1" t="s">
        <v>7</v>
      </c>
      <c r="C72" s="24">
        <v>0.31</v>
      </c>
      <c r="D72" s="24">
        <v>0.26</v>
      </c>
      <c r="E72" s="19"/>
      <c r="F72" s="25"/>
      <c r="G72" s="19"/>
      <c r="H72" s="19"/>
      <c r="I72" s="19"/>
      <c r="J72" s="19"/>
      <c r="K72" s="19"/>
      <c r="L72" s="19"/>
      <c r="M72" s="19"/>
      <c r="N72" s="19"/>
      <c r="V72" s="32"/>
    </row>
    <row r="73" spans="1:22" x14ac:dyDescent="0.25">
      <c r="A73" s="31"/>
      <c r="B73" s="1" t="s">
        <v>8</v>
      </c>
      <c r="C73" s="24">
        <v>0</v>
      </c>
      <c r="D73" s="24">
        <v>0</v>
      </c>
      <c r="E73" s="19"/>
      <c r="F73" s="25"/>
      <c r="G73" s="19"/>
      <c r="H73" s="19"/>
      <c r="I73" s="19"/>
      <c r="J73" s="19"/>
      <c r="K73" s="19"/>
      <c r="L73" s="19"/>
      <c r="M73" s="19"/>
      <c r="N73" s="19"/>
      <c r="V73" s="32"/>
    </row>
    <row r="74" spans="1:22" x14ac:dyDescent="0.25">
      <c r="A74" s="31"/>
      <c r="B74" s="1" t="s">
        <v>9</v>
      </c>
      <c r="C74" s="24">
        <v>0.56000000000000005</v>
      </c>
      <c r="D74" s="24">
        <v>0.56999999999999995</v>
      </c>
      <c r="F74" s="25"/>
      <c r="M74" s="19"/>
      <c r="N74" s="19"/>
      <c r="V74" s="32"/>
    </row>
    <row r="75" spans="1:22" x14ac:dyDescent="0.25">
      <c r="A75" s="31"/>
      <c r="B75" s="1" t="s">
        <v>10</v>
      </c>
      <c r="C75" s="24">
        <v>0.08</v>
      </c>
      <c r="D75" s="24">
        <v>0.28999999999999998</v>
      </c>
      <c r="F75" s="25"/>
      <c r="V75" s="32"/>
    </row>
    <row r="76" spans="1:22" x14ac:dyDescent="0.25">
      <c r="A76" s="31"/>
      <c r="B76" s="21"/>
      <c r="V76" s="32"/>
    </row>
    <row r="77" spans="1:22" x14ac:dyDescent="0.25">
      <c r="A77" s="31"/>
      <c r="B77" s="20"/>
      <c r="C77" s="21"/>
      <c r="D77" s="21"/>
      <c r="E77" s="21"/>
      <c r="F77" s="21"/>
      <c r="G77" s="21"/>
      <c r="H77" s="21"/>
      <c r="I77" s="21"/>
      <c r="J77" s="21"/>
      <c r="K77" s="20"/>
      <c r="L77" s="21"/>
      <c r="M77" s="20"/>
      <c r="N77" s="20"/>
      <c r="V77" s="32"/>
    </row>
    <row r="78" spans="1:22" x14ac:dyDescent="0.25">
      <c r="A78" s="40" t="s">
        <v>32</v>
      </c>
      <c r="B78" s="36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8"/>
      <c r="P78" s="38"/>
      <c r="Q78" s="38"/>
      <c r="R78" s="38"/>
      <c r="S78" s="38"/>
      <c r="T78" s="38"/>
      <c r="U78" s="38"/>
      <c r="V78" s="39"/>
    </row>
    <row r="79" spans="1:22" x14ac:dyDescent="0.25">
      <c r="B79" s="21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22" x14ac:dyDescent="0.25">
      <c r="B80" s="21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2:14" x14ac:dyDescent="0.25">
      <c r="B81" s="21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2:14" x14ac:dyDescent="0.25">
      <c r="B82" s="21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2:14" x14ac:dyDescent="0.25">
      <c r="B83" s="21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2:14" x14ac:dyDescent="0.25">
      <c r="B84" s="21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2:14" x14ac:dyDescent="0.25">
      <c r="B85" s="21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4" x14ac:dyDescent="0.25">
      <c r="B86" s="21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2:14" x14ac:dyDescent="0.25">
      <c r="B87" s="21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2:14" x14ac:dyDescent="0.25">
      <c r="B88" s="18"/>
      <c r="M88" s="19"/>
      <c r="N88" s="19"/>
    </row>
    <row r="93" spans="2:14" x14ac:dyDescent="0.25">
      <c r="B93" s="20"/>
      <c r="C93" s="20"/>
      <c r="D93" s="20"/>
    </row>
    <row r="94" spans="2:14" x14ac:dyDescent="0.25">
      <c r="B94" s="21"/>
    </row>
    <row r="95" spans="2:14" x14ac:dyDescent="0.25">
      <c r="B95" s="21"/>
    </row>
    <row r="96" spans="2:14" x14ac:dyDescent="0.25">
      <c r="B96" s="21"/>
    </row>
    <row r="97" spans="2:2" x14ac:dyDescent="0.25">
      <c r="B97" s="21"/>
    </row>
    <row r="98" spans="2:2" x14ac:dyDescent="0.25">
      <c r="B98" s="21"/>
    </row>
    <row r="99" spans="2:2" x14ac:dyDescent="0.25">
      <c r="B99" s="21"/>
    </row>
    <row r="100" spans="2:2" x14ac:dyDescent="0.25">
      <c r="B100" s="21"/>
    </row>
    <row r="101" spans="2:2" x14ac:dyDescent="0.25">
      <c r="B101" s="21"/>
    </row>
    <row r="102" spans="2:2" x14ac:dyDescent="0.25">
      <c r="B102" s="21"/>
    </row>
    <row r="103" spans="2:2" x14ac:dyDescent="0.25">
      <c r="B103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0493-9B12-43A1-A45B-AC778A84CBC9}">
  <dimension ref="A1:Z114"/>
  <sheetViews>
    <sheetView tabSelected="1" zoomScale="90" workbookViewId="0">
      <selection activeCell="AB35" sqref="AB35"/>
    </sheetView>
  </sheetViews>
  <sheetFormatPr defaultRowHeight="15" x14ac:dyDescent="0.25"/>
  <cols>
    <col min="2" max="2" width="12.28515625" customWidth="1"/>
    <col min="9" max="9" width="10" customWidth="1"/>
    <col min="10" max="10" width="12.28515625" customWidth="1"/>
  </cols>
  <sheetData>
    <row r="1" spans="1:26" x14ac:dyDescent="0.25">
      <c r="A1" s="55" t="s">
        <v>52</v>
      </c>
      <c r="B1" s="29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30"/>
    </row>
    <row r="2" spans="1:26" x14ac:dyDescent="0.25">
      <c r="A2" s="31"/>
      <c r="Z2" s="32"/>
    </row>
    <row r="3" spans="1:26" x14ac:dyDescent="0.25">
      <c r="A3" s="31"/>
      <c r="Z3" s="32"/>
    </row>
    <row r="4" spans="1:26" x14ac:dyDescent="0.25">
      <c r="A4" s="31"/>
      <c r="Z4" s="32"/>
    </row>
    <row r="5" spans="1:26" x14ac:dyDescent="0.25">
      <c r="A5" s="31"/>
      <c r="Z5" s="32"/>
    </row>
    <row r="6" spans="1:26" x14ac:dyDescent="0.25">
      <c r="A6" s="31"/>
      <c r="Z6" s="32"/>
    </row>
    <row r="7" spans="1:26" x14ac:dyDescent="0.25">
      <c r="A7" s="31"/>
      <c r="Z7" s="32"/>
    </row>
    <row r="8" spans="1:26" x14ac:dyDescent="0.25">
      <c r="A8" s="31"/>
      <c r="Z8" s="32"/>
    </row>
    <row r="9" spans="1:26" x14ac:dyDescent="0.25">
      <c r="A9" s="31"/>
      <c r="Z9" s="32"/>
    </row>
    <row r="10" spans="1:26" x14ac:dyDescent="0.25">
      <c r="A10" s="31"/>
      <c r="Z10" s="32"/>
    </row>
    <row r="11" spans="1:26" x14ac:dyDescent="0.25">
      <c r="A11" s="31"/>
      <c r="Z11" s="32"/>
    </row>
    <row r="12" spans="1:26" x14ac:dyDescent="0.25">
      <c r="A12" s="31"/>
      <c r="Z12" s="32"/>
    </row>
    <row r="13" spans="1:26" x14ac:dyDescent="0.25">
      <c r="A13" s="31"/>
      <c r="Z13" s="32"/>
    </row>
    <row r="14" spans="1:26" x14ac:dyDescent="0.25">
      <c r="A14" s="31"/>
      <c r="Z14" s="32"/>
    </row>
    <row r="15" spans="1:26" x14ac:dyDescent="0.25">
      <c r="A15" s="31"/>
      <c r="Z15" s="32"/>
    </row>
    <row r="16" spans="1:26" x14ac:dyDescent="0.25">
      <c r="A16" s="31"/>
      <c r="Z16" s="32"/>
    </row>
    <row r="17" spans="1:26" x14ac:dyDescent="0.25">
      <c r="A17" s="31"/>
      <c r="B17" s="18" t="s">
        <v>33</v>
      </c>
      <c r="Z17" s="32"/>
    </row>
    <row r="18" spans="1:26" x14ac:dyDescent="0.25">
      <c r="A18" s="31"/>
      <c r="Z18" s="32"/>
    </row>
    <row r="19" spans="1:26" x14ac:dyDescent="0.25">
      <c r="A19" s="31"/>
      <c r="Z19" s="32"/>
    </row>
    <row r="20" spans="1:26" x14ac:dyDescent="0.25">
      <c r="A20" s="31"/>
      <c r="Z20" s="32"/>
    </row>
    <row r="21" spans="1:26" x14ac:dyDescent="0.25">
      <c r="A21" s="31"/>
      <c r="Z21" s="32"/>
    </row>
    <row r="22" spans="1:26" x14ac:dyDescent="0.25">
      <c r="A22" s="31"/>
      <c r="Z22" s="32"/>
    </row>
    <row r="23" spans="1:26" x14ac:dyDescent="0.25">
      <c r="A23" s="31"/>
      <c r="Z23" s="32"/>
    </row>
    <row r="24" spans="1:26" x14ac:dyDescent="0.25">
      <c r="A24" s="31"/>
      <c r="Z24" s="32"/>
    </row>
    <row r="25" spans="1:26" x14ac:dyDescent="0.25">
      <c r="A25" s="31"/>
      <c r="Z25" s="32"/>
    </row>
    <row r="26" spans="1:26" x14ac:dyDescent="0.25">
      <c r="A26" s="31"/>
      <c r="Z26" s="32"/>
    </row>
    <row r="27" spans="1:26" x14ac:dyDescent="0.25">
      <c r="A27" s="31"/>
      <c r="Z27" s="32"/>
    </row>
    <row r="28" spans="1:26" x14ac:dyDescent="0.25">
      <c r="A28" s="31"/>
      <c r="Z28" s="32"/>
    </row>
    <row r="29" spans="1:26" x14ac:dyDescent="0.25">
      <c r="A29" s="31"/>
      <c r="Z29" s="32"/>
    </row>
    <row r="30" spans="1:26" x14ac:dyDescent="0.25">
      <c r="A30" s="31"/>
      <c r="Z30" s="32"/>
    </row>
    <row r="31" spans="1:26" x14ac:dyDescent="0.25">
      <c r="A31" s="31"/>
      <c r="Z31" s="32"/>
    </row>
    <row r="32" spans="1:26" x14ac:dyDescent="0.25">
      <c r="A32" s="31"/>
      <c r="B32" s="18" t="s">
        <v>34</v>
      </c>
      <c r="Z32" s="32"/>
    </row>
    <row r="33" spans="1:26" x14ac:dyDescent="0.25">
      <c r="A33" s="31"/>
      <c r="Z33" s="32"/>
    </row>
    <row r="34" spans="1:26" x14ac:dyDescent="0.25">
      <c r="A34" s="31"/>
      <c r="Z34" s="32"/>
    </row>
    <row r="35" spans="1:26" x14ac:dyDescent="0.25">
      <c r="A35" s="31"/>
      <c r="Z35" s="32"/>
    </row>
    <row r="36" spans="1:26" x14ac:dyDescent="0.25">
      <c r="A36" s="31"/>
      <c r="Z36" s="32"/>
    </row>
    <row r="37" spans="1:26" x14ac:dyDescent="0.25">
      <c r="A37" s="31"/>
      <c r="Z37" s="32"/>
    </row>
    <row r="38" spans="1:26" x14ac:dyDescent="0.25">
      <c r="A38" s="31"/>
      <c r="Z38" s="32"/>
    </row>
    <row r="39" spans="1:26" x14ac:dyDescent="0.25">
      <c r="A39" s="31"/>
      <c r="Z39" s="32"/>
    </row>
    <row r="40" spans="1:26" x14ac:dyDescent="0.25">
      <c r="A40" s="31"/>
      <c r="Z40" s="32"/>
    </row>
    <row r="41" spans="1:26" x14ac:dyDescent="0.25">
      <c r="A41" s="31"/>
      <c r="Z41" s="32"/>
    </row>
    <row r="42" spans="1:26" x14ac:dyDescent="0.25">
      <c r="A42" s="31"/>
      <c r="Z42" s="32"/>
    </row>
    <row r="43" spans="1:26" x14ac:dyDescent="0.25">
      <c r="A43" s="31"/>
      <c r="Z43" s="32"/>
    </row>
    <row r="44" spans="1:26" x14ac:dyDescent="0.25">
      <c r="A44" s="31"/>
      <c r="Z44" s="32"/>
    </row>
    <row r="45" spans="1:26" x14ac:dyDescent="0.25">
      <c r="A45" s="31"/>
      <c r="Z45" s="32"/>
    </row>
    <row r="46" spans="1:26" x14ac:dyDescent="0.25">
      <c r="A46" s="31"/>
      <c r="Z46" s="32"/>
    </row>
    <row r="47" spans="1:26" x14ac:dyDescent="0.25">
      <c r="A47" s="31"/>
      <c r="Z47" s="32"/>
    </row>
    <row r="48" spans="1:26" x14ac:dyDescent="0.25">
      <c r="A48" s="31"/>
      <c r="B48" s="18" t="s">
        <v>35</v>
      </c>
      <c r="Z48" s="32"/>
    </row>
    <row r="49" spans="1:26" x14ac:dyDescent="0.25">
      <c r="A49" s="31"/>
      <c r="Z49" s="32"/>
    </row>
    <row r="50" spans="1:26" x14ac:dyDescent="0.25">
      <c r="A50" s="31"/>
      <c r="Z50" s="32"/>
    </row>
    <row r="51" spans="1:26" x14ac:dyDescent="0.25">
      <c r="A51" s="31"/>
      <c r="Z51" s="32"/>
    </row>
    <row r="52" spans="1:26" x14ac:dyDescent="0.25">
      <c r="A52" s="31"/>
      <c r="Z52" s="32"/>
    </row>
    <row r="53" spans="1:26" x14ac:dyDescent="0.25">
      <c r="A53" s="31"/>
      <c r="Z53" s="32"/>
    </row>
    <row r="54" spans="1:26" x14ac:dyDescent="0.25">
      <c r="A54" s="31"/>
      <c r="Z54" s="32"/>
    </row>
    <row r="55" spans="1:26" x14ac:dyDescent="0.25">
      <c r="A55" s="31"/>
      <c r="Z55" s="32"/>
    </row>
    <row r="56" spans="1:26" x14ac:dyDescent="0.25">
      <c r="A56" s="31"/>
      <c r="Z56" s="32"/>
    </row>
    <row r="57" spans="1:26" x14ac:dyDescent="0.25">
      <c r="A57" s="31"/>
      <c r="Z57" s="32"/>
    </row>
    <row r="58" spans="1:26" x14ac:dyDescent="0.25">
      <c r="A58" s="31"/>
      <c r="Z58" s="32"/>
    </row>
    <row r="59" spans="1:26" x14ac:dyDescent="0.25">
      <c r="A59" s="31"/>
      <c r="Z59" s="32"/>
    </row>
    <row r="60" spans="1:26" x14ac:dyDescent="0.25">
      <c r="A60" s="31"/>
      <c r="Z60" s="32"/>
    </row>
    <row r="61" spans="1:26" x14ac:dyDescent="0.25">
      <c r="A61" s="31"/>
      <c r="Z61" s="32"/>
    </row>
    <row r="62" spans="1:26" x14ac:dyDescent="0.25">
      <c r="A62" s="31"/>
      <c r="Z62" s="32"/>
    </row>
    <row r="63" spans="1:26" x14ac:dyDescent="0.25">
      <c r="A63" s="31"/>
      <c r="Z63" s="32"/>
    </row>
    <row r="64" spans="1:26" x14ac:dyDescent="0.25">
      <c r="A64" s="31"/>
      <c r="B64" s="18" t="s">
        <v>36</v>
      </c>
      <c r="Z64" s="32"/>
    </row>
    <row r="65" spans="1:26" x14ac:dyDescent="0.25">
      <c r="A65" s="31"/>
      <c r="Z65" s="32"/>
    </row>
    <row r="66" spans="1:26" x14ac:dyDescent="0.25">
      <c r="A66" s="31"/>
      <c r="Z66" s="32"/>
    </row>
    <row r="67" spans="1:26" x14ac:dyDescent="0.25">
      <c r="A67" s="31"/>
      <c r="Z67" s="32"/>
    </row>
    <row r="68" spans="1:26" x14ac:dyDescent="0.25">
      <c r="A68" s="31"/>
      <c r="B68" s="56" t="s">
        <v>37</v>
      </c>
      <c r="Z68" s="32"/>
    </row>
    <row r="69" spans="1:26" x14ac:dyDescent="0.25">
      <c r="A69" s="31"/>
      <c r="Z69" s="32"/>
    </row>
    <row r="70" spans="1:26" x14ac:dyDescent="0.25">
      <c r="A70" s="49" t="s">
        <v>51</v>
      </c>
      <c r="B70" s="43"/>
      <c r="C70" s="27"/>
      <c r="D70" s="27"/>
      <c r="E70" s="27"/>
      <c r="F70" s="27"/>
      <c r="G70" s="27"/>
      <c r="H70" s="30"/>
      <c r="I70" s="49" t="s">
        <v>27</v>
      </c>
      <c r="J70" s="43"/>
      <c r="K70" s="27"/>
      <c r="L70" s="27"/>
      <c r="M70" s="27"/>
      <c r="N70" s="27"/>
      <c r="O70" s="27"/>
      <c r="P70" s="30"/>
      <c r="Z70" s="32"/>
    </row>
    <row r="71" spans="1:26" x14ac:dyDescent="0.25">
      <c r="A71" s="31"/>
      <c r="H71" s="32"/>
      <c r="I71" s="31"/>
      <c r="P71" s="32"/>
      <c r="Z71" s="32"/>
    </row>
    <row r="72" spans="1:26" x14ac:dyDescent="0.25">
      <c r="A72" s="44" t="s">
        <v>45</v>
      </c>
      <c r="B72" s="13" t="s">
        <v>38</v>
      </c>
      <c r="C72" s="5">
        <v>2.27</v>
      </c>
      <c r="D72" s="5">
        <v>2.27</v>
      </c>
      <c r="H72" s="32"/>
      <c r="I72" s="44" t="s">
        <v>45</v>
      </c>
      <c r="J72" s="13" t="s">
        <v>38</v>
      </c>
      <c r="K72" s="5">
        <v>2.27</v>
      </c>
      <c r="L72" s="5">
        <v>2.27</v>
      </c>
      <c r="P72" s="32"/>
      <c r="Z72" s="32"/>
    </row>
    <row r="73" spans="1:26" x14ac:dyDescent="0.25">
      <c r="A73" s="31"/>
      <c r="B73" s="13" t="s">
        <v>39</v>
      </c>
      <c r="C73" s="41">
        <v>0.2</v>
      </c>
      <c r="D73" s="41">
        <v>0.8</v>
      </c>
      <c r="H73" s="32"/>
      <c r="I73" s="31"/>
      <c r="J73" s="13" t="s">
        <v>39</v>
      </c>
      <c r="K73" s="41">
        <v>0.2</v>
      </c>
      <c r="L73" s="41">
        <v>0.8</v>
      </c>
      <c r="P73" s="32"/>
      <c r="Z73" s="32"/>
    </row>
    <row r="74" spans="1:26" x14ac:dyDescent="0.25">
      <c r="A74" s="31"/>
      <c r="B74" s="13" t="s">
        <v>40</v>
      </c>
      <c r="C74" s="24">
        <v>1.6</v>
      </c>
      <c r="D74" s="5">
        <v>0.98</v>
      </c>
      <c r="H74" s="32"/>
      <c r="I74" s="31"/>
      <c r="J74" s="13" t="s">
        <v>40</v>
      </c>
      <c r="K74" s="24">
        <v>0.81</v>
      </c>
      <c r="L74" s="5">
        <v>0.75</v>
      </c>
      <c r="P74" s="32"/>
      <c r="Z74" s="32"/>
    </row>
    <row r="75" spans="1:26" x14ac:dyDescent="0.25">
      <c r="A75" s="31"/>
      <c r="B75" s="13" t="s">
        <v>41</v>
      </c>
      <c r="C75" s="24" cm="1">
        <f t="array" ref="C75:D75">LOG(C74:D74)</f>
        <v>0.20411998265592479</v>
      </c>
      <c r="D75" s="42">
        <v>-8.7739243075051505E-3</v>
      </c>
      <c r="H75" s="32"/>
      <c r="I75" s="31"/>
      <c r="J75" s="13" t="s">
        <v>41</v>
      </c>
      <c r="K75" s="24" cm="1">
        <f t="array" ref="K75:L75">LOG(K74:L74)</f>
        <v>-9.1514981121350217E-2</v>
      </c>
      <c r="L75" s="42">
        <v>-0.12493873660829995</v>
      </c>
      <c r="P75" s="32"/>
      <c r="Z75" s="32"/>
    </row>
    <row r="76" spans="1:26" x14ac:dyDescent="0.25">
      <c r="A76" s="31"/>
      <c r="B76" s="13" t="s">
        <v>42</v>
      </c>
      <c r="C76" s="24" cm="1">
        <f t="array" ref="C76:D76">C73:D73*C72:D72</f>
        <v>0.45400000000000001</v>
      </c>
      <c r="D76" s="24">
        <v>1.8160000000000001</v>
      </c>
      <c r="H76" s="32"/>
      <c r="I76" s="31"/>
      <c r="J76" s="13" t="s">
        <v>42</v>
      </c>
      <c r="K76" s="24" cm="1">
        <f t="array" ref="K76:L76">K73:L73*K72:L72</f>
        <v>0.45400000000000001</v>
      </c>
      <c r="L76" s="24">
        <v>1.8160000000000001</v>
      </c>
      <c r="P76" s="32"/>
      <c r="Z76" s="32"/>
    </row>
    <row r="77" spans="1:26" x14ac:dyDescent="0.25">
      <c r="A77" s="45" t="s">
        <v>46</v>
      </c>
      <c r="H77" s="32"/>
      <c r="I77" s="45" t="s">
        <v>46</v>
      </c>
      <c r="P77" s="32"/>
      <c r="Z77" s="32"/>
    </row>
    <row r="78" spans="1:26" x14ac:dyDescent="0.25">
      <c r="A78" s="31"/>
      <c r="B78" s="13" t="s">
        <v>43</v>
      </c>
      <c r="C78" s="24">
        <f>((D75-C75)/(D76-C76))</f>
        <v>-0.15630977016404546</v>
      </c>
      <c r="H78" s="32"/>
      <c r="I78" s="31"/>
      <c r="J78" s="13" t="s">
        <v>43</v>
      </c>
      <c r="K78" s="24">
        <f>((L75-K75)/(L76-K76))</f>
        <v>-2.4540202266482913E-2</v>
      </c>
      <c r="P78" s="32"/>
      <c r="Z78" s="32"/>
    </row>
    <row r="79" spans="1:26" x14ac:dyDescent="0.25">
      <c r="A79" s="31"/>
      <c r="B79" s="13" t="s">
        <v>44</v>
      </c>
      <c r="C79" s="24">
        <f>C75-(C78*C76)</f>
        <v>0.27508461831040143</v>
      </c>
      <c r="H79" s="32"/>
      <c r="I79" s="31"/>
      <c r="J79" s="13" t="s">
        <v>44</v>
      </c>
      <c r="K79" s="24">
        <f>K75-(K78*K76)</f>
        <v>-8.0373729292366969E-2</v>
      </c>
      <c r="P79" s="32"/>
      <c r="Z79" s="32"/>
    </row>
    <row r="80" spans="1:26" x14ac:dyDescent="0.25">
      <c r="A80" s="31"/>
      <c r="H80" s="32"/>
      <c r="I80" s="31"/>
      <c r="P80" s="32"/>
      <c r="Z80" s="32"/>
    </row>
    <row r="81" spans="1:26" x14ac:dyDescent="0.25">
      <c r="A81" s="45" t="s">
        <v>47</v>
      </c>
      <c r="H81" s="32"/>
      <c r="I81" s="45" t="s">
        <v>47</v>
      </c>
      <c r="P81" s="32"/>
      <c r="Z81" s="32"/>
    </row>
    <row r="82" spans="1:26" x14ac:dyDescent="0.25">
      <c r="A82" s="31"/>
      <c r="H82" s="32"/>
      <c r="I82" s="31"/>
      <c r="P82" s="32"/>
      <c r="Z82" s="32"/>
    </row>
    <row r="83" spans="1:26" x14ac:dyDescent="0.25">
      <c r="A83" s="31"/>
      <c r="B83" s="54" t="s">
        <v>48</v>
      </c>
      <c r="C83" s="53">
        <f>(-C79)/(C78*C72)</f>
        <v>0.77527240370760186</v>
      </c>
      <c r="H83" s="32"/>
      <c r="I83" s="31"/>
      <c r="J83" s="54" t="s">
        <v>48</v>
      </c>
      <c r="K83" s="53">
        <f>(-K79)/(K78*K72)</f>
        <v>-1.4428132587987992</v>
      </c>
      <c r="P83" s="32"/>
      <c r="Z83" s="32"/>
    </row>
    <row r="84" spans="1:26" x14ac:dyDescent="0.25">
      <c r="A84" s="31"/>
      <c r="H84" s="32"/>
      <c r="I84" s="31"/>
      <c r="P84" s="32"/>
      <c r="Z84" s="32"/>
    </row>
    <row r="85" spans="1:26" x14ac:dyDescent="0.25">
      <c r="A85" s="31"/>
      <c r="B85" s="50" t="s">
        <v>49</v>
      </c>
      <c r="C85" s="51"/>
      <c r="D85" s="51"/>
      <c r="E85" s="51"/>
      <c r="F85" s="51"/>
      <c r="G85" s="52"/>
      <c r="H85" s="32"/>
      <c r="I85" s="31"/>
      <c r="J85" s="50" t="s">
        <v>50</v>
      </c>
      <c r="K85" s="51"/>
      <c r="L85" s="51"/>
      <c r="M85" s="51"/>
      <c r="N85" s="51"/>
      <c r="O85" s="52"/>
      <c r="P85" s="32"/>
      <c r="Z85" s="32"/>
    </row>
    <row r="86" spans="1:26" x14ac:dyDescent="0.25">
      <c r="A86" s="31"/>
      <c r="H86" s="32"/>
      <c r="I86" s="31"/>
      <c r="P86" s="32"/>
      <c r="Z86" s="32"/>
    </row>
    <row r="87" spans="1:26" x14ac:dyDescent="0.25">
      <c r="A87" s="45"/>
      <c r="H87" s="32"/>
      <c r="I87" s="31"/>
      <c r="P87" s="32"/>
      <c r="Z87" s="32"/>
    </row>
    <row r="88" spans="1:26" x14ac:dyDescent="0.25">
      <c r="A88" s="31"/>
      <c r="B88" s="18"/>
      <c r="H88" s="32"/>
      <c r="I88" s="31"/>
      <c r="P88" s="32"/>
      <c r="Z88" s="32"/>
    </row>
    <row r="89" spans="1:26" x14ac:dyDescent="0.25">
      <c r="A89" s="31"/>
      <c r="H89" s="32"/>
      <c r="I89" s="31"/>
      <c r="P89" s="32"/>
      <c r="Z89" s="32"/>
    </row>
    <row r="90" spans="1:26" x14ac:dyDescent="0.25">
      <c r="A90" s="31"/>
      <c r="B90" s="18"/>
      <c r="H90" s="32"/>
      <c r="I90" s="31"/>
      <c r="P90" s="32"/>
      <c r="Z90" s="32"/>
    </row>
    <row r="91" spans="1:26" x14ac:dyDescent="0.25">
      <c r="A91" s="31"/>
      <c r="B91" s="21"/>
      <c r="C91" s="21"/>
      <c r="D91" s="21"/>
      <c r="E91" s="21"/>
      <c r="H91" s="32"/>
      <c r="I91" s="31"/>
      <c r="P91" s="32"/>
      <c r="Z91" s="32"/>
    </row>
    <row r="92" spans="1:26" x14ac:dyDescent="0.25">
      <c r="A92" s="31"/>
      <c r="B92" s="46"/>
      <c r="C92" s="46"/>
      <c r="D92" s="46"/>
      <c r="E92" s="46"/>
      <c r="H92" s="32"/>
      <c r="I92" s="31"/>
      <c r="P92" s="32"/>
      <c r="Z92" s="32"/>
    </row>
    <row r="93" spans="1:26" x14ac:dyDescent="0.25">
      <c r="A93" s="31"/>
      <c r="B93" s="46"/>
      <c r="C93" s="46"/>
      <c r="D93" s="46"/>
      <c r="E93" s="46"/>
      <c r="H93" s="32"/>
      <c r="I93" s="31"/>
      <c r="P93" s="32"/>
      <c r="Z93" s="32"/>
    </row>
    <row r="94" spans="1:26" x14ac:dyDescent="0.25">
      <c r="A94" s="31"/>
      <c r="B94" s="47"/>
      <c r="C94" s="47"/>
      <c r="D94" s="47"/>
      <c r="E94" s="47"/>
      <c r="H94" s="32"/>
      <c r="I94" s="31"/>
      <c r="P94" s="32"/>
      <c r="Z94" s="32"/>
    </row>
    <row r="95" spans="1:26" x14ac:dyDescent="0.25">
      <c r="A95" s="31"/>
      <c r="B95" s="46"/>
      <c r="C95" s="46"/>
      <c r="D95" s="46"/>
      <c r="E95" s="46"/>
      <c r="H95" s="32"/>
      <c r="I95" s="31"/>
      <c r="P95" s="32"/>
      <c r="Z95" s="32"/>
    </row>
    <row r="96" spans="1:26" x14ac:dyDescent="0.25">
      <c r="A96" s="31"/>
      <c r="B96" s="46"/>
      <c r="C96" s="46"/>
      <c r="D96" s="46"/>
      <c r="E96" s="46"/>
      <c r="H96" s="32"/>
      <c r="I96" s="31"/>
      <c r="P96" s="32"/>
      <c r="Z96" s="32"/>
    </row>
    <row r="97" spans="1:26" x14ac:dyDescent="0.25">
      <c r="A97" s="31"/>
      <c r="B97" s="46"/>
      <c r="C97" s="46"/>
      <c r="D97" s="46"/>
      <c r="E97" s="46"/>
      <c r="H97" s="32"/>
      <c r="I97" s="31"/>
      <c r="P97" s="32"/>
      <c r="Z97" s="32"/>
    </row>
    <row r="98" spans="1:26" x14ac:dyDescent="0.25">
      <c r="A98" s="31"/>
      <c r="B98" s="46"/>
      <c r="C98" s="46"/>
      <c r="D98" s="46"/>
      <c r="E98" s="46"/>
      <c r="H98" s="32"/>
      <c r="I98" s="31"/>
      <c r="P98" s="32"/>
      <c r="Z98" s="32"/>
    </row>
    <row r="99" spans="1:26" x14ac:dyDescent="0.25">
      <c r="A99" s="31"/>
      <c r="B99" s="46"/>
      <c r="C99" s="46"/>
      <c r="D99" s="46"/>
      <c r="E99" s="46"/>
      <c r="H99" s="32"/>
      <c r="I99" s="31"/>
      <c r="P99" s="32"/>
      <c r="Z99" s="32"/>
    </row>
    <row r="100" spans="1:26" x14ac:dyDescent="0.25">
      <c r="A100" s="31"/>
      <c r="H100" s="32"/>
      <c r="I100" s="31"/>
      <c r="P100" s="32"/>
      <c r="Z100" s="32"/>
    </row>
    <row r="101" spans="1:26" x14ac:dyDescent="0.25">
      <c r="A101" s="31"/>
      <c r="B101" s="18"/>
      <c r="H101" s="32"/>
      <c r="I101" s="31"/>
      <c r="P101" s="32"/>
      <c r="Z101" s="32"/>
    </row>
    <row r="102" spans="1:26" x14ac:dyDescent="0.25">
      <c r="A102" s="31"/>
      <c r="B102" s="21"/>
      <c r="C102" s="21"/>
      <c r="D102" s="21"/>
      <c r="E102" s="19"/>
      <c r="F102" s="20"/>
      <c r="H102" s="32"/>
      <c r="I102" s="31"/>
      <c r="P102" s="32"/>
      <c r="Z102" s="32"/>
    </row>
    <row r="103" spans="1:26" x14ac:dyDescent="0.25">
      <c r="A103" s="31"/>
      <c r="B103" s="46"/>
      <c r="C103" s="46"/>
      <c r="D103" s="46"/>
      <c r="E103" s="19"/>
      <c r="F103" s="19"/>
      <c r="H103" s="32"/>
      <c r="I103" s="31"/>
      <c r="P103" s="32"/>
      <c r="Z103" s="32"/>
    </row>
    <row r="104" spans="1:26" x14ac:dyDescent="0.25">
      <c r="A104" s="31"/>
      <c r="B104" s="46"/>
      <c r="C104" s="46"/>
      <c r="D104" s="46"/>
      <c r="E104" s="19"/>
      <c r="F104" s="19"/>
      <c r="H104" s="32"/>
      <c r="I104" s="31"/>
      <c r="P104" s="32"/>
      <c r="Z104" s="32"/>
    </row>
    <row r="105" spans="1:26" x14ac:dyDescent="0.25">
      <c r="A105" s="31"/>
      <c r="B105" s="47"/>
      <c r="C105" s="47"/>
      <c r="D105" s="47"/>
      <c r="E105" s="19"/>
      <c r="F105" s="19"/>
      <c r="H105" s="32"/>
      <c r="I105" s="31"/>
      <c r="P105" s="32"/>
      <c r="Z105" s="32"/>
    </row>
    <row r="106" spans="1:26" x14ac:dyDescent="0.25">
      <c r="A106" s="35"/>
      <c r="B106" s="48"/>
      <c r="C106" s="48"/>
      <c r="D106" s="48"/>
      <c r="E106" s="36"/>
      <c r="F106" s="37"/>
      <c r="G106" s="38"/>
      <c r="H106" s="39"/>
      <c r="I106" s="35"/>
      <c r="J106" s="38"/>
      <c r="K106" s="38"/>
      <c r="L106" s="38"/>
      <c r="M106" s="38"/>
      <c r="N106" s="38"/>
      <c r="O106" s="38"/>
      <c r="P106" s="39"/>
      <c r="Z106" s="32"/>
    </row>
    <row r="107" spans="1:26" x14ac:dyDescent="0.25">
      <c r="A107" s="31"/>
      <c r="B107" s="47"/>
      <c r="C107" s="47"/>
      <c r="D107" s="47"/>
      <c r="E107" s="19"/>
      <c r="F107" s="19"/>
      <c r="Z107" s="32"/>
    </row>
    <row r="108" spans="1:26" x14ac:dyDescent="0.25">
      <c r="A108" s="31"/>
      <c r="B108" s="46"/>
      <c r="C108" s="46"/>
      <c r="D108" s="46"/>
      <c r="E108" s="19"/>
      <c r="F108" s="19"/>
      <c r="Z108" s="32"/>
    </row>
    <row r="109" spans="1:26" x14ac:dyDescent="0.25">
      <c r="A109" s="31"/>
      <c r="B109" s="46"/>
      <c r="C109" s="46"/>
      <c r="D109" s="46"/>
      <c r="E109" s="19"/>
      <c r="F109" s="19"/>
      <c r="Z109" s="32"/>
    </row>
    <row r="110" spans="1:26" x14ac:dyDescent="0.25">
      <c r="A110" s="31"/>
      <c r="B110" s="46"/>
      <c r="C110" s="46"/>
      <c r="D110" s="46"/>
      <c r="E110" s="19"/>
      <c r="F110" s="19"/>
      <c r="Z110" s="32"/>
    </row>
    <row r="111" spans="1:26" x14ac:dyDescent="0.25">
      <c r="A111" s="31"/>
      <c r="Z111" s="32"/>
    </row>
    <row r="112" spans="1:26" x14ac:dyDescent="0.25">
      <c r="A112" s="31"/>
      <c r="Z112" s="32"/>
    </row>
    <row r="113" spans="1:26" x14ac:dyDescent="0.25">
      <c r="A113" s="31"/>
      <c r="Z113" s="32"/>
    </row>
    <row r="114" spans="1:26" x14ac:dyDescent="0.25">
      <c r="A114" s="40" t="s">
        <v>32</v>
      </c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Robustness &amp; Betweeness</vt:lpstr>
      <vt:lpstr>Resilience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 N</dc:creator>
  <cp:lastModifiedBy>Shashank S N</cp:lastModifiedBy>
  <dcterms:created xsi:type="dcterms:W3CDTF">2025-11-16T20:22:52Z</dcterms:created>
  <dcterms:modified xsi:type="dcterms:W3CDTF">2025-11-18T01:04:36Z</dcterms:modified>
</cp:coreProperties>
</file>