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shank S N\OneDrive\Desktop\CY5250_Assignments\Class_Paper\Class_Paper_Draft\"/>
    </mc:Choice>
  </mc:AlternateContent>
  <xr:revisionPtr revIDLastSave="0" documentId="13_ncr:1_{57FB3784-C484-4985-A02B-2992BF7986EA}" xr6:coauthVersionLast="47" xr6:coauthVersionMax="47" xr10:uidLastSave="{00000000-0000-0000-0000-000000000000}"/>
  <bookViews>
    <workbookView xWindow="-120" yWindow="-120" windowWidth="29040" windowHeight="15720" xr2:uid="{45F174DD-9D97-4538-B3E9-692160B803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6" i="1" l="1"/>
  <c r="Q22" i="1" a="1"/>
  <c r="Q22" i="1" s="1"/>
  <c r="Q21" i="1"/>
  <c r="Q17" i="1" a="1"/>
  <c r="Q17" i="1" s="1"/>
  <c r="P26" i="1"/>
  <c r="P22" i="1" a="1"/>
  <c r="P22" i="1" s="1"/>
  <c r="P21" i="1"/>
  <c r="P17" i="1" a="1"/>
  <c r="P17" i="1" s="1"/>
  <c r="Q7" i="1" a="1"/>
  <c r="Q7" i="1" s="1"/>
  <c r="Q11" i="1" s="1"/>
  <c r="Q2" i="1" a="1"/>
  <c r="Q2" i="1" s="1"/>
  <c r="Q6" i="1" s="1"/>
  <c r="P11" i="1"/>
  <c r="P7" i="1" a="1"/>
  <c r="P7" i="1" s="1"/>
  <c r="P6" i="1"/>
  <c r="P2" i="1" a="1"/>
  <c r="P2" i="1" s="1"/>
  <c r="O26" i="1"/>
  <c r="O21" i="1"/>
  <c r="O11" i="1"/>
  <c r="O6" i="1"/>
  <c r="E21" i="1"/>
  <c r="E20" i="1"/>
  <c r="E19" i="1"/>
  <c r="E18" i="1"/>
  <c r="E17" i="1"/>
  <c r="E16" i="1"/>
  <c r="E15" i="1"/>
  <c r="E14" i="1"/>
  <c r="E13" i="1"/>
  <c r="E12" i="1"/>
  <c r="D21" i="1"/>
  <c r="D20" i="1"/>
  <c r="D19" i="1"/>
  <c r="D18" i="1"/>
  <c r="D17" i="1"/>
  <c r="D16" i="1"/>
  <c r="D15" i="1"/>
  <c r="D14" i="1"/>
  <c r="D13" i="1"/>
  <c r="D12" i="1"/>
  <c r="C21" i="1"/>
  <c r="C20" i="1"/>
  <c r="C19" i="1"/>
  <c r="C18" i="1"/>
  <c r="C17" i="1"/>
  <c r="C16" i="1"/>
  <c r="C15" i="1"/>
  <c r="C14" i="1"/>
  <c r="C13" i="1"/>
  <c r="C12" i="1"/>
  <c r="B21" i="1"/>
  <c r="B20" i="1"/>
  <c r="B19" i="1"/>
  <c r="B18" i="1"/>
  <c r="B17" i="1"/>
  <c r="B16" i="1"/>
  <c r="B15" i="1"/>
  <c r="B14" i="1"/>
  <c r="B13" i="1"/>
  <c r="B12" i="1"/>
  <c r="E2" i="1" a="1"/>
  <c r="E2" i="1" s="1"/>
  <c r="J20" i="1"/>
  <c r="D2" i="1" a="1"/>
  <c r="D2" i="1" s="1"/>
  <c r="J17" i="1"/>
  <c r="C2" i="1" a="1"/>
  <c r="C2" i="1" s="1"/>
  <c r="B2" i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<sst xmlns="http://schemas.openxmlformats.org/spreadsheetml/2006/main" count="83" uniqueCount="50">
  <si>
    <t>Name</t>
  </si>
  <si>
    <t>Illinois</t>
  </si>
  <si>
    <t>Indiana</t>
  </si>
  <si>
    <t>Kentucky</t>
  </si>
  <si>
    <t>Maryland</t>
  </si>
  <si>
    <t>Missouri</t>
  </si>
  <si>
    <t>New Jersey</t>
  </si>
  <si>
    <t>Pennsylvania</t>
  </si>
  <si>
    <t>Tennessee</t>
  </si>
  <si>
    <t>West Virginia</t>
  </si>
  <si>
    <t>Virginia</t>
  </si>
  <si>
    <t>PA-NJ</t>
  </si>
  <si>
    <t>PA-MD</t>
  </si>
  <si>
    <t>WV-VA</t>
  </si>
  <si>
    <t>VA-MD</t>
  </si>
  <si>
    <t>WV-KY</t>
  </si>
  <si>
    <t>PA-WV</t>
  </si>
  <si>
    <t>KY-IN</t>
  </si>
  <si>
    <t>IN-IL</t>
  </si>
  <si>
    <t>IL-MO</t>
  </si>
  <si>
    <t>KY-TN</t>
  </si>
  <si>
    <t>Consequence(MGD)</t>
  </si>
  <si>
    <t>Consequence ($M)</t>
  </si>
  <si>
    <t>Prevention Cost ($M)</t>
  </si>
  <si>
    <t>Response Cost ($M)</t>
  </si>
  <si>
    <t>CAPEX ($M)</t>
  </si>
  <si>
    <t>Dunbur Incident</t>
  </si>
  <si>
    <t>LOSS in MGD</t>
  </si>
  <si>
    <t>LOSS in $M</t>
  </si>
  <si>
    <t>Prevention Scale Factor</t>
  </si>
  <si>
    <t>2024 Removal Cost ($M)</t>
  </si>
  <si>
    <t>Response Scale Factor</t>
  </si>
  <si>
    <t>Total 2024 CAPEX ($M)</t>
  </si>
  <si>
    <t>Threat Name</t>
  </si>
  <si>
    <t>Node</t>
  </si>
  <si>
    <t>SCADA Malware</t>
  </si>
  <si>
    <t>Ransomware</t>
  </si>
  <si>
    <t>Phishing</t>
  </si>
  <si>
    <t>Remote Access</t>
  </si>
  <si>
    <t>Elimination Cost ($M)</t>
  </si>
  <si>
    <t>Vulnerability (%)</t>
  </si>
  <si>
    <t>Total:</t>
  </si>
  <si>
    <t>Main Sabotage</t>
  </si>
  <si>
    <t>Regional Flooding</t>
  </si>
  <si>
    <t>Grid Outage</t>
  </si>
  <si>
    <t>Cascade Network - Cyber Threats (Coordinated and Random)</t>
  </si>
  <si>
    <t>Flow Network - Physical Threats (Coordinated and Random)</t>
  </si>
  <si>
    <t>Plant Contamination</t>
  </si>
  <si>
    <t>Shashank Shivakumar Niveditha</t>
  </si>
  <si>
    <t>American Water Company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</si>
</sst>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0" fillId="0" borderId="3" xfId="0" applyBorder="1"/>
    <xf numFmtId="0" fontId="1" fillId="0" borderId="0" xfId="0" applyFont="1"/>
    <xf numFmtId="0" fontId="0" fillId="0" borderId="4" xfId="0" applyBorder="1"/>
    <xf numFmtId="0" fontId="1" fillId="0" borderId="4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1" fillId="0" borderId="5" xfId="0" applyFont="1" applyBorder="1"/>
    <xf numFmtId="0" fontId="1" fillId="4" borderId="6" xfId="0" applyFont="1" applyFill="1" applyBorder="1"/>
    <xf numFmtId="0" fontId="0" fillId="4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DCC8-54A4-41FB-8AF4-6A045DCA7994}">
  <dimension ref="A1:T30"/>
  <sheetViews>
    <sheetView tabSelected="1" topLeftCell="B1" zoomScale="92" workbookViewId="0">
      <selection activeCell="U14" sqref="U14"/>
    </sheetView>
  </sheetViews>
  <sheetFormatPr defaultRowHeight="15" x14ac:dyDescent="0.25"/>
  <cols>
    <col min="1" max="1" width="12.7109375" bestFit="1" customWidth="1"/>
    <col min="2" max="2" width="19.140625" customWidth="1"/>
    <col min="3" max="3" width="17.7109375" bestFit="1" customWidth="1"/>
    <col min="4" max="4" width="19.28515625" bestFit="1" customWidth="1"/>
    <col min="5" max="5" width="18.5703125" bestFit="1" customWidth="1"/>
    <col min="9" max="9" width="22.5703125" bestFit="1" customWidth="1"/>
    <col min="10" max="10" width="11.85546875" customWidth="1"/>
    <col min="11" max="11" width="10.5703125" customWidth="1"/>
    <col min="13" max="13" width="12.28515625" bestFit="1" customWidth="1"/>
    <col min="14" max="14" width="18.5703125" bestFit="1" customWidth="1"/>
    <col min="15" max="15" width="14.28515625" bestFit="1" customWidth="1"/>
    <col min="16" max="16" width="20.140625" bestFit="1" customWidth="1"/>
    <col min="17" max="17" width="17.5703125" bestFit="1" customWidth="1"/>
  </cols>
  <sheetData>
    <row r="1" spans="1:20" x14ac:dyDescent="0.2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I1" s="1" t="s">
        <v>0</v>
      </c>
      <c r="J1" s="1" t="s">
        <v>25</v>
      </c>
      <c r="M1" s="1" t="s">
        <v>34</v>
      </c>
      <c r="N1" s="1" t="s">
        <v>33</v>
      </c>
      <c r="O1" s="1" t="s">
        <v>40</v>
      </c>
      <c r="P1" s="1" t="s">
        <v>39</v>
      </c>
      <c r="Q1" s="1" t="s">
        <v>22</v>
      </c>
      <c r="T1" s="18"/>
    </row>
    <row r="2" spans="1:20" x14ac:dyDescent="0.25">
      <c r="A2" s="2" t="s">
        <v>1</v>
      </c>
      <c r="B2" s="6" cm="1">
        <f t="array" ref="B2:B11">J14*(J2:J11/J10)</f>
        <v>145.22422360248447</v>
      </c>
      <c r="C2" s="6" cm="1">
        <f t="array" ref="C2:C11">K14*(J2:J11/J10)</f>
        <v>104.98136645962732</v>
      </c>
      <c r="D2" s="6" cm="1">
        <f t="array" ref="D2:D11">J2:J11*J17</f>
        <v>556.27131300560052</v>
      </c>
      <c r="E2" s="6" cm="1">
        <f t="array" ref="E2:E11">J2:J11*J20</f>
        <v>29.605476042314876</v>
      </c>
      <c r="I2" s="2" t="s">
        <v>1</v>
      </c>
      <c r="J2" s="5">
        <v>939</v>
      </c>
      <c r="M2" s="2" t="s">
        <v>7</v>
      </c>
      <c r="N2" s="9" t="s">
        <v>35</v>
      </c>
      <c r="O2" s="10">
        <v>0.15</v>
      </c>
      <c r="P2" s="6" cm="1">
        <f t="array" ref="P2:P5">O2:O5*D8</f>
        <v>78.642190416925956</v>
      </c>
      <c r="Q2" s="6" cm="1">
        <f t="array" ref="Q2:Q5">O2:O5*C8</f>
        <v>14.841614906832298</v>
      </c>
      <c r="T2" s="18"/>
    </row>
    <row r="3" spans="1:20" x14ac:dyDescent="0.25">
      <c r="A3" s="2" t="s">
        <v>2</v>
      </c>
      <c r="B3" s="6">
        <v>66.348447204968934</v>
      </c>
      <c r="C3" s="6">
        <v>47.962732919254663</v>
      </c>
      <c r="D3" s="6">
        <v>254.14312383322962</v>
      </c>
      <c r="E3" s="6">
        <v>13.525824517734911</v>
      </c>
      <c r="I3" s="2" t="s">
        <v>2</v>
      </c>
      <c r="J3" s="5">
        <v>429</v>
      </c>
      <c r="M3" s="9"/>
      <c r="N3" s="9" t="s">
        <v>36</v>
      </c>
      <c r="O3" s="10">
        <v>0.12</v>
      </c>
      <c r="P3" s="6">
        <v>62.913752333540764</v>
      </c>
      <c r="Q3" s="6">
        <v>11.873291925465837</v>
      </c>
      <c r="T3" s="18"/>
    </row>
    <row r="4" spans="1:20" x14ac:dyDescent="0.25">
      <c r="A4" s="2" t="s">
        <v>3</v>
      </c>
      <c r="B4" s="6">
        <v>23.508074534161491</v>
      </c>
      <c r="C4" s="6">
        <v>16.993788819875775</v>
      </c>
      <c r="D4" s="6">
        <v>90.046048537647792</v>
      </c>
      <c r="E4" s="6">
        <v>4.7923667288944207</v>
      </c>
      <c r="I4" s="2" t="s">
        <v>3</v>
      </c>
      <c r="J4" s="5">
        <v>152</v>
      </c>
      <c r="M4" s="9"/>
      <c r="N4" s="9" t="s">
        <v>37</v>
      </c>
      <c r="O4" s="10">
        <v>7.0000000000000007E-2</v>
      </c>
      <c r="P4" s="6">
        <v>36.699688861232119</v>
      </c>
      <c r="Q4" s="6">
        <v>6.9260869565217398</v>
      </c>
      <c r="T4" s="18"/>
    </row>
    <row r="5" spans="1:20" x14ac:dyDescent="0.25">
      <c r="A5" s="2" t="s">
        <v>4</v>
      </c>
      <c r="B5" s="6">
        <v>24.281366459627325</v>
      </c>
      <c r="C5" s="6">
        <v>17.552795031055901</v>
      </c>
      <c r="D5" s="6">
        <v>93.008089607965161</v>
      </c>
      <c r="E5" s="6">
        <v>4.9500103712922634</v>
      </c>
      <c r="I5" s="2" t="s">
        <v>4</v>
      </c>
      <c r="J5" s="5">
        <v>157</v>
      </c>
      <c r="M5" s="9"/>
      <c r="N5" s="9" t="s">
        <v>38</v>
      </c>
      <c r="O5" s="10">
        <v>0.06</v>
      </c>
      <c r="P5" s="6">
        <v>31.456876166770382</v>
      </c>
      <c r="Q5" s="6">
        <v>5.9366459627329187</v>
      </c>
      <c r="T5" s="18"/>
    </row>
    <row r="6" spans="1:20" x14ac:dyDescent="0.25">
      <c r="A6" s="2" t="s">
        <v>5</v>
      </c>
      <c r="B6" s="6">
        <v>170.12422360248445</v>
      </c>
      <c r="C6" s="6">
        <v>122.98136645962732</v>
      </c>
      <c r="D6" s="6">
        <v>651.64903546981952</v>
      </c>
      <c r="E6" s="6">
        <v>34.681601327525414</v>
      </c>
      <c r="I6" s="2" t="s">
        <v>5</v>
      </c>
      <c r="J6" s="5">
        <v>1100</v>
      </c>
      <c r="M6" s="1" t="s">
        <v>41</v>
      </c>
      <c r="N6" s="1"/>
      <c r="O6" s="11">
        <f>SUM(O2:O5)</f>
        <v>0.4</v>
      </c>
      <c r="P6" s="12">
        <f>SUM(P2:P5)</f>
        <v>209.71250777846922</v>
      </c>
      <c r="Q6" s="12">
        <f>SUM(Q2:Q5)</f>
        <v>39.577639751552788</v>
      </c>
      <c r="T6" s="18"/>
    </row>
    <row r="7" spans="1:20" x14ac:dyDescent="0.25">
      <c r="A7" s="13" t="s">
        <v>6</v>
      </c>
      <c r="B7" s="14">
        <v>110.5807453416149</v>
      </c>
      <c r="C7" s="14">
        <v>79.937888198757761</v>
      </c>
      <c r="D7" s="14">
        <v>423.5718730553827</v>
      </c>
      <c r="E7" s="6">
        <v>22.54304086289152</v>
      </c>
      <c r="I7" s="2" t="s">
        <v>6</v>
      </c>
      <c r="J7" s="15">
        <v>715</v>
      </c>
      <c r="M7" s="13" t="s">
        <v>1</v>
      </c>
      <c r="N7" s="16" t="s">
        <v>35</v>
      </c>
      <c r="O7" s="17">
        <v>0.15</v>
      </c>
      <c r="P7" s="14" cm="1">
        <f t="array" ref="P7:P10">O7:O10*D2</f>
        <v>83.440696950840078</v>
      </c>
      <c r="Q7" s="6" cm="1">
        <f t="array" ref="Q7:Q10">O7:O10*C2</f>
        <v>15.747204968944098</v>
      </c>
      <c r="T7" s="18"/>
    </row>
    <row r="8" spans="1:20" x14ac:dyDescent="0.25">
      <c r="A8" s="2" t="s">
        <v>7</v>
      </c>
      <c r="B8" s="6">
        <v>136.8726708074534</v>
      </c>
      <c r="C8" s="6">
        <v>98.944099378881987</v>
      </c>
      <c r="D8" s="6">
        <v>524.28126944617304</v>
      </c>
      <c r="E8" s="6">
        <v>27.902924704418172</v>
      </c>
      <c r="I8" s="2" t="s">
        <v>7</v>
      </c>
      <c r="J8" s="5">
        <v>885</v>
      </c>
      <c r="M8" s="9"/>
      <c r="N8" s="9" t="s">
        <v>36</v>
      </c>
      <c r="O8" s="10">
        <v>0.12</v>
      </c>
      <c r="P8" s="6">
        <v>66.752557560672059</v>
      </c>
      <c r="Q8" s="6">
        <v>12.597763975155278</v>
      </c>
      <c r="T8" s="18"/>
    </row>
    <row r="9" spans="1:20" x14ac:dyDescent="0.25">
      <c r="A9" s="2" t="s">
        <v>8</v>
      </c>
      <c r="B9" s="6">
        <v>26.755900621118009</v>
      </c>
      <c r="C9" s="6">
        <v>19.341614906832298</v>
      </c>
      <c r="D9" s="6">
        <v>102.48662103298071</v>
      </c>
      <c r="E9" s="6">
        <v>5.4544700269653603</v>
      </c>
      <c r="I9" s="2" t="s">
        <v>8</v>
      </c>
      <c r="J9" s="5">
        <v>173</v>
      </c>
      <c r="M9" s="9"/>
      <c r="N9" s="9" t="s">
        <v>37</v>
      </c>
      <c r="O9" s="10">
        <v>7.0000000000000007E-2</v>
      </c>
      <c r="P9" s="6">
        <v>38.938991910392041</v>
      </c>
      <c r="Q9" s="6">
        <v>7.3486956521739133</v>
      </c>
      <c r="T9" s="18"/>
    </row>
    <row r="10" spans="1:20" x14ac:dyDescent="0.25">
      <c r="A10" s="2" t="s">
        <v>9</v>
      </c>
      <c r="B10" s="6">
        <v>24.9</v>
      </c>
      <c r="C10" s="6">
        <v>18</v>
      </c>
      <c r="D10" s="6">
        <v>95.377722464219048</v>
      </c>
      <c r="E10" s="6">
        <v>5.0761252852105381</v>
      </c>
      <c r="I10" s="2" t="s">
        <v>9</v>
      </c>
      <c r="J10" s="5">
        <v>161</v>
      </c>
      <c r="M10" s="9"/>
      <c r="N10" s="9" t="s">
        <v>38</v>
      </c>
      <c r="O10" s="10">
        <v>0.06</v>
      </c>
      <c r="P10" s="6">
        <v>33.37627878033603</v>
      </c>
      <c r="Q10" s="6">
        <v>6.298881987577639</v>
      </c>
      <c r="T10" s="18"/>
    </row>
    <row r="11" spans="1:20" x14ac:dyDescent="0.25">
      <c r="A11" s="2" t="s">
        <v>10</v>
      </c>
      <c r="B11" s="6">
        <v>17.012422360248443</v>
      </c>
      <c r="C11" s="6">
        <v>12.298136645962732</v>
      </c>
      <c r="D11" s="6">
        <v>65.164903546981961</v>
      </c>
      <c r="E11" s="6">
        <v>3.4681601327525415</v>
      </c>
      <c r="I11" s="2" t="s">
        <v>10</v>
      </c>
      <c r="J11" s="5">
        <v>110</v>
      </c>
      <c r="M11" s="1" t="s">
        <v>41</v>
      </c>
      <c r="N11" s="4"/>
      <c r="O11" s="11">
        <f>SUM(O7:O10)</f>
        <v>0.4</v>
      </c>
      <c r="P11" s="12">
        <f>SUM(P7:P10)</f>
        <v>222.50852520224021</v>
      </c>
      <c r="Q11" s="12">
        <f>SUM(Q7:Q10)</f>
        <v>41.992546583850931</v>
      </c>
      <c r="T11" s="18"/>
    </row>
    <row r="12" spans="1:20" x14ac:dyDescent="0.25">
      <c r="A12" s="3" t="s">
        <v>11</v>
      </c>
      <c r="B12" s="6">
        <f>0.1*MIN(B8,B7)</f>
        <v>11.058074534161491</v>
      </c>
      <c r="C12" s="6">
        <f>0.1*MIN(C8,C7)</f>
        <v>7.9937888198757765</v>
      </c>
      <c r="D12" s="6">
        <f>0.1*MIN(D8,D7)</f>
        <v>42.357187305538275</v>
      </c>
      <c r="E12" s="6">
        <f>0.1*MIN(E8,E7)</f>
        <v>2.2543040862891521</v>
      </c>
      <c r="M12" s="19" t="s">
        <v>45</v>
      </c>
      <c r="T12" s="18"/>
    </row>
    <row r="13" spans="1:20" x14ac:dyDescent="0.25">
      <c r="A13" s="3" t="s">
        <v>12</v>
      </c>
      <c r="B13" s="6">
        <f>0.1*MIN(B8,B5)</f>
        <v>2.4281366459627325</v>
      </c>
      <c r="C13" s="6">
        <f>0.1*MIN(C8,C5)</f>
        <v>1.7552795031055901</v>
      </c>
      <c r="D13" s="6">
        <f>0.1*MIN(D8,D5)</f>
        <v>9.3008089607965161</v>
      </c>
      <c r="E13" s="6">
        <f>0.1*MIN(E8*E5)</f>
        <v>13.811976667625707</v>
      </c>
      <c r="I13" s="1" t="s">
        <v>26</v>
      </c>
      <c r="J13" s="1" t="s">
        <v>27</v>
      </c>
      <c r="K13" s="1" t="s">
        <v>28</v>
      </c>
      <c r="T13" s="18"/>
    </row>
    <row r="14" spans="1:20" x14ac:dyDescent="0.25">
      <c r="A14" s="3" t="s">
        <v>16</v>
      </c>
      <c r="B14" s="6">
        <f>0.1*MIN(B8,B10)</f>
        <v>2.4900000000000002</v>
      </c>
      <c r="C14" s="6">
        <f>0.1*MIN(C8,C10)</f>
        <v>1.8</v>
      </c>
      <c r="D14" s="6">
        <f>0.1*MIN(D8,D10)</f>
        <v>9.5377722464219055</v>
      </c>
      <c r="E14" s="6">
        <f>0.1*MIN(E8,E10)</f>
        <v>0.50761252852105387</v>
      </c>
      <c r="I14" s="2" t="s">
        <v>9</v>
      </c>
      <c r="J14" s="5">
        <v>24.9</v>
      </c>
      <c r="K14" s="5">
        <v>18</v>
      </c>
      <c r="T14" s="18"/>
    </row>
    <row r="15" spans="1:20" x14ac:dyDescent="0.25">
      <c r="A15" s="3" t="s">
        <v>13</v>
      </c>
      <c r="B15" s="6">
        <f>0.1*MIN(B10,B11)</f>
        <v>1.7012422360248445</v>
      </c>
      <c r="C15" s="6">
        <f>0.1*MIN(C10,C11)</f>
        <v>1.2298136645962732</v>
      </c>
      <c r="D15" s="6">
        <f>0.1*MIN(D10,D11)</f>
        <v>6.5164903546981963</v>
      </c>
      <c r="E15" s="6">
        <f>0.1*MIN(E10,E11)</f>
        <v>0.34681601327525419</v>
      </c>
      <c r="T15" s="18"/>
    </row>
    <row r="16" spans="1:20" x14ac:dyDescent="0.25">
      <c r="A16" s="3" t="s">
        <v>14</v>
      </c>
      <c r="B16" s="6">
        <f>0.1*MIN(B11,B5)</f>
        <v>1.7012422360248445</v>
      </c>
      <c r="C16" s="6">
        <f>0.1*MIN(C11,C5)</f>
        <v>1.2298136645962732</v>
      </c>
      <c r="D16" s="6">
        <f>0.1*MIN(D11,D5)</f>
        <v>6.5164903546981963</v>
      </c>
      <c r="E16" s="6">
        <f>0.1*MIN(E11,E5)</f>
        <v>0.34681601327525419</v>
      </c>
      <c r="I16" s="7" t="s">
        <v>32</v>
      </c>
      <c r="J16" s="5">
        <v>2856</v>
      </c>
      <c r="M16" s="1" t="s">
        <v>34</v>
      </c>
      <c r="N16" s="1" t="s">
        <v>33</v>
      </c>
      <c r="O16" s="1" t="s">
        <v>40</v>
      </c>
      <c r="P16" s="1" t="s">
        <v>39</v>
      </c>
      <c r="Q16" s="1" t="s">
        <v>22</v>
      </c>
      <c r="T16" s="18"/>
    </row>
    <row r="17" spans="1:20" x14ac:dyDescent="0.25">
      <c r="A17" s="3" t="s">
        <v>15</v>
      </c>
      <c r="B17" s="6">
        <f>0.1*MIN(B10,B4)</f>
        <v>2.3508074534161492</v>
      </c>
      <c r="C17" s="6">
        <f>0.1*MIN(C10,C4)</f>
        <v>1.6993788819875775</v>
      </c>
      <c r="D17" s="6">
        <f>0.1*MIN(D10,D4)</f>
        <v>9.0046048537647803</v>
      </c>
      <c r="E17" s="6">
        <f>0.1*MIN(E10,E4)</f>
        <v>0.47923667288944211</v>
      </c>
      <c r="I17" s="7" t="s">
        <v>29</v>
      </c>
      <c r="J17" s="6">
        <f>J16/SUM(J2:J11)</f>
        <v>0.59240821406347233</v>
      </c>
      <c r="M17" s="2" t="s">
        <v>7</v>
      </c>
      <c r="N17" s="9" t="s">
        <v>42</v>
      </c>
      <c r="O17" s="10">
        <v>0.12</v>
      </c>
      <c r="P17" s="6" cm="1">
        <f t="array" ref="P17:P20">O17:O20*D8</f>
        <v>62.913752333540764</v>
      </c>
      <c r="Q17" s="6" cm="1">
        <f t="array" ref="Q17:Q20">O17:O20*C8</f>
        <v>11.873291925465837</v>
      </c>
      <c r="T17" s="18"/>
    </row>
    <row r="18" spans="1:20" x14ac:dyDescent="0.25">
      <c r="A18" s="3" t="s">
        <v>17</v>
      </c>
      <c r="B18" s="6">
        <f>0.1*MIN(B4,B3)</f>
        <v>2.3508074534161492</v>
      </c>
      <c r="C18" s="6">
        <f>0.1*MIN(C4,C3)</f>
        <v>1.6993788819875775</v>
      </c>
      <c r="D18" s="6">
        <f>0.1*MIN(D4,D3)</f>
        <v>9.0046048537647803</v>
      </c>
      <c r="E18" s="6">
        <f>0.1*MIN(E4,E3)</f>
        <v>0.47923667288944211</v>
      </c>
      <c r="M18" s="9"/>
      <c r="N18" s="9" t="s">
        <v>47</v>
      </c>
      <c r="O18" s="10">
        <v>0.11</v>
      </c>
      <c r="P18" s="6">
        <v>57.670939639079037</v>
      </c>
      <c r="Q18" s="6">
        <v>10.883850931677019</v>
      </c>
      <c r="T18" s="18"/>
    </row>
    <row r="19" spans="1:20" x14ac:dyDescent="0.25">
      <c r="A19" s="3" t="s">
        <v>18</v>
      </c>
      <c r="B19" s="6">
        <f>0.1*MIN(B3,B2)</f>
        <v>6.6348447204968934</v>
      </c>
      <c r="C19" s="6">
        <f>0.1*MIN(C3,C2)</f>
        <v>4.7962732919254663</v>
      </c>
      <c r="D19" s="6">
        <f>0.1*MIN(D3,D2)</f>
        <v>25.414312383322965</v>
      </c>
      <c r="E19" s="6">
        <f>0.1*MIN(E3,E2)</f>
        <v>1.3525824517734912</v>
      </c>
      <c r="I19" s="7" t="s">
        <v>30</v>
      </c>
      <c r="J19" s="5">
        <v>152</v>
      </c>
      <c r="M19" s="9"/>
      <c r="N19" s="9" t="s">
        <v>43</v>
      </c>
      <c r="O19" s="10">
        <v>0.09</v>
      </c>
      <c r="P19" s="6">
        <v>47.185314250155571</v>
      </c>
      <c r="Q19" s="6">
        <v>8.9049689440993784</v>
      </c>
      <c r="T19" s="18"/>
    </row>
    <row r="20" spans="1:20" x14ac:dyDescent="0.25">
      <c r="A20" s="3" t="s">
        <v>19</v>
      </c>
      <c r="B20" s="6">
        <f>0.1*MIN(B2,B6)</f>
        <v>14.522422360248449</v>
      </c>
      <c r="C20" s="6">
        <f>0.1*MIN(C2,C6)</f>
        <v>10.498136645962733</v>
      </c>
      <c r="D20" s="6">
        <f>0.1*MIN(D2,D6)</f>
        <v>55.627131300560052</v>
      </c>
      <c r="E20" s="6">
        <f>0.1*MIN(E2,E6)</f>
        <v>2.960547604231488</v>
      </c>
      <c r="I20" s="7" t="s">
        <v>31</v>
      </c>
      <c r="J20" s="8">
        <f>J19/SUM(J2:J11)</f>
        <v>3.1528728479568557E-2</v>
      </c>
      <c r="M20" s="9"/>
      <c r="N20" s="9" t="s">
        <v>44</v>
      </c>
      <c r="O20" s="10">
        <v>0.08</v>
      </c>
      <c r="P20" s="6">
        <v>41.942501555693845</v>
      </c>
      <c r="Q20" s="6">
        <v>7.9155279503105591</v>
      </c>
      <c r="T20" s="18"/>
    </row>
    <row r="21" spans="1:20" x14ac:dyDescent="0.25">
      <c r="A21" s="3" t="s">
        <v>20</v>
      </c>
      <c r="B21" s="6">
        <f>0.1*MIN(B4,B9)</f>
        <v>2.3508074534161492</v>
      </c>
      <c r="C21" s="6">
        <f>0.1*MIN(C4,C9)</f>
        <v>1.6993788819875775</v>
      </c>
      <c r="D21" s="6">
        <f>0.1*MIN(D4,D9)</f>
        <v>9.0046048537647803</v>
      </c>
      <c r="E21" s="6">
        <f>0.1*MIN(E4,E9)</f>
        <v>0.47923667288944211</v>
      </c>
      <c r="M21" s="1" t="s">
        <v>41</v>
      </c>
      <c r="N21" s="1"/>
      <c r="O21" s="11">
        <f>SUM(O17:O20)</f>
        <v>0.39999999999999997</v>
      </c>
      <c r="P21" s="12">
        <f>SUM(P17:P20)</f>
        <v>209.71250777846919</v>
      </c>
      <c r="Q21" s="12">
        <f>SUM(Q17:Q20)</f>
        <v>39.577639751552795</v>
      </c>
      <c r="T21" s="18"/>
    </row>
    <row r="22" spans="1:20" x14ac:dyDescent="0.25">
      <c r="A22" s="20"/>
      <c r="M22" s="2" t="s">
        <v>6</v>
      </c>
      <c r="N22" s="9" t="s">
        <v>42</v>
      </c>
      <c r="O22" s="10">
        <v>0.12</v>
      </c>
      <c r="P22" s="6" cm="1">
        <f t="array" ref="P22:P25">O22:O25*D2</f>
        <v>66.752557560672059</v>
      </c>
      <c r="Q22" s="6" cm="1">
        <f t="array" ref="Q22:Q25">O22:O25*C2</f>
        <v>12.597763975155278</v>
      </c>
      <c r="T22" s="18"/>
    </row>
    <row r="23" spans="1:20" x14ac:dyDescent="0.25">
      <c r="A23" s="20"/>
      <c r="M23" s="9"/>
      <c r="N23" s="9" t="s">
        <v>47</v>
      </c>
      <c r="O23" s="10">
        <v>0.11</v>
      </c>
      <c r="P23" s="6">
        <v>61.189844430616056</v>
      </c>
      <c r="Q23" s="6">
        <v>11.547950310559006</v>
      </c>
      <c r="T23" s="18"/>
    </row>
    <row r="24" spans="1:20" x14ac:dyDescent="0.25">
      <c r="A24" s="21"/>
      <c r="M24" s="9"/>
      <c r="N24" s="9" t="s">
        <v>43</v>
      </c>
      <c r="O24" s="10">
        <v>0.09</v>
      </c>
      <c r="P24" s="6">
        <v>50.064418170504048</v>
      </c>
      <c r="Q24" s="6">
        <v>9.4483229813664593</v>
      </c>
      <c r="T24" s="18"/>
    </row>
    <row r="25" spans="1:20" x14ac:dyDescent="0.25">
      <c r="A25" s="20"/>
      <c r="M25" s="9"/>
      <c r="N25" s="9" t="s">
        <v>44</v>
      </c>
      <c r="O25" s="10">
        <v>0.08</v>
      </c>
      <c r="P25" s="6">
        <v>44.501705040448044</v>
      </c>
      <c r="Q25" s="6">
        <v>8.3985093167701859</v>
      </c>
      <c r="T25" s="18"/>
    </row>
    <row r="26" spans="1:20" x14ac:dyDescent="0.25">
      <c r="A26" s="20"/>
      <c r="M26" s="1" t="s">
        <v>41</v>
      </c>
      <c r="N26" s="4"/>
      <c r="O26" s="11">
        <f>SUM(O22:O25)</f>
        <v>0.39999999999999997</v>
      </c>
      <c r="P26" s="12">
        <f>SUM(P22:P25)</f>
        <v>222.50852520224021</v>
      </c>
      <c r="Q26" s="12">
        <f>SUM(Q22:Q25)</f>
        <v>41.992546583850931</v>
      </c>
      <c r="T26" s="18"/>
    </row>
    <row r="27" spans="1:20" x14ac:dyDescent="0.25">
      <c r="A27" s="20"/>
      <c r="M27" s="19" t="s">
        <v>46</v>
      </c>
      <c r="T27" s="18"/>
    </row>
    <row r="28" spans="1:20" x14ac:dyDescent="0.25">
      <c r="A28" s="20"/>
      <c r="T28" s="18"/>
    </row>
    <row r="29" spans="1:20" x14ac:dyDescent="0.25">
      <c r="A29" s="20"/>
      <c r="T29" s="18"/>
    </row>
    <row r="30" spans="1:20" x14ac:dyDescent="0.25">
      <c r="A30" s="24" t="s">
        <v>48</v>
      </c>
      <c r="B30" s="22"/>
      <c r="C30" s="22"/>
      <c r="D30" s="22"/>
      <c r="E30" s="22"/>
      <c r="F30" s="25" t="s">
        <v>49</v>
      </c>
      <c r="G30" s="26"/>
      <c r="H30" s="26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 N</dc:creator>
  <cp:lastModifiedBy>Shashank S N</cp:lastModifiedBy>
  <dcterms:created xsi:type="dcterms:W3CDTF">2025-11-15T19:48:51Z</dcterms:created>
  <dcterms:modified xsi:type="dcterms:W3CDTF">2025-12-03T06:43:22Z</dcterms:modified>
</cp:coreProperties>
</file>